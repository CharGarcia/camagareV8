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filterPrivacy="1" codeName="ThisWorkbook" defaultThemeVersion="124226"/>
  <xr:revisionPtr revIDLastSave="0" documentId="13_ncr:1_{4E2EC874-A635-4AAA-BAFF-AFF4EAE20369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ESF" sheetId="1" r:id="rId1"/>
    <sheet name="ERI" sheetId="5" r:id="rId2"/>
    <sheet name="EFE" sheetId="7" r:id="rId3"/>
    <sheet name="ECP" sheetId="8" r:id="rId4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3" i="7" l="1"/>
  <c r="D235" i="5"/>
  <c r="D62" i="7"/>
  <c r="D6" i="7"/>
  <c r="E321" i="8"/>
  <c r="E322" i="8" s="1"/>
  <c r="E291" i="8"/>
  <c r="E292" i="8" s="1"/>
  <c r="E19" i="8"/>
  <c r="E12" i="8"/>
  <c r="D246" i="5"/>
  <c r="D85" i="7"/>
  <c r="D205" i="5" l="1"/>
  <c r="D5" i="1"/>
  <c r="D11" i="1"/>
  <c r="D10" i="1" s="1"/>
  <c r="D217" i="5"/>
  <c r="D200" i="5"/>
  <c r="D191" i="5"/>
  <c r="D185" i="5"/>
  <c r="D184" i="5" s="1"/>
  <c r="D179" i="5"/>
  <c r="D169" i="5"/>
  <c r="D161" i="5"/>
  <c r="D158" i="5"/>
  <c r="D133" i="5" s="1"/>
  <c r="D154" i="5"/>
  <c r="D124" i="5"/>
  <c r="D116" i="5"/>
  <c r="D113" i="5"/>
  <c r="D109" i="5"/>
  <c r="D89" i="5"/>
  <c r="D12" i="7" s="1"/>
  <c r="D3" i="7" s="1"/>
  <c r="D86" i="5"/>
  <c r="D77" i="5"/>
  <c r="D74" i="5"/>
  <c r="D71" i="5"/>
  <c r="D58" i="5"/>
  <c r="D53" i="5"/>
  <c r="D40" i="5"/>
  <c r="D35" i="5"/>
  <c r="D26" i="5"/>
  <c r="D20" i="5"/>
  <c r="D19" i="5" s="1"/>
  <c r="D13" i="5"/>
  <c r="D5" i="5"/>
  <c r="D375" i="1"/>
  <c r="D367" i="1"/>
  <c r="D362" i="1"/>
  <c r="D359" i="1"/>
  <c r="D354" i="1"/>
  <c r="D349" i="1"/>
  <c r="D343" i="1"/>
  <c r="D339" i="1"/>
  <c r="D336" i="1"/>
  <c r="D330" i="1"/>
  <c r="D325" i="1"/>
  <c r="D320" i="1"/>
  <c r="D319" i="1" s="1"/>
  <c r="D316" i="1"/>
  <c r="D312" i="1"/>
  <c r="D308" i="1"/>
  <c r="D291" i="1"/>
  <c r="D288" i="1"/>
  <c r="D284" i="1"/>
  <c r="D278" i="1"/>
  <c r="D273" i="1"/>
  <c r="D264" i="1"/>
  <c r="D258" i="1"/>
  <c r="D255" i="1"/>
  <c r="D252" i="1"/>
  <c r="D248" i="1"/>
  <c r="D243" i="1" s="1"/>
  <c r="D244" i="1"/>
  <c r="D234" i="1"/>
  <c r="D230" i="1"/>
  <c r="D219" i="1"/>
  <c r="D215" i="1"/>
  <c r="D208" i="1"/>
  <c r="D199" i="1"/>
  <c r="D192" i="1"/>
  <c r="D187" i="1"/>
  <c r="D184" i="1"/>
  <c r="D183" i="1"/>
  <c r="D179" i="1"/>
  <c r="D165" i="1"/>
  <c r="D157" i="1"/>
  <c r="D152" i="1"/>
  <c r="D138" i="1"/>
  <c r="D132" i="1"/>
  <c r="D112" i="1"/>
  <c r="D109" i="1"/>
  <c r="D104" i="1"/>
  <c r="D80" i="1"/>
  <c r="D79" i="1" s="1"/>
  <c r="D55" i="1"/>
  <c r="D48" i="1"/>
  <c r="D42" i="1"/>
  <c r="D18" i="1"/>
  <c r="D272" i="1" l="1"/>
  <c r="D240" i="1" s="1"/>
  <c r="D164" i="1"/>
  <c r="D108" i="1"/>
  <c r="D178" i="5"/>
  <c r="D88" i="5" s="1"/>
  <c r="D3" i="5"/>
  <c r="D348" i="1"/>
  <c r="D347" i="1" s="1"/>
  <c r="D307" i="1"/>
  <c r="D57" i="5"/>
  <c r="D47" i="1"/>
  <c r="D9" i="1" l="1"/>
  <c r="D4" i="1" s="1"/>
  <c r="D3" i="1" s="1"/>
  <c r="D52" i="5"/>
  <c r="D305" i="1"/>
  <c r="D239" i="1" s="1"/>
  <c r="D74" i="7"/>
  <c r="D220" i="5"/>
  <c r="E85" i="7" l="1"/>
  <c r="F85" i="7" s="1"/>
  <c r="D4" i="7"/>
  <c r="E84" i="7" s="1"/>
  <c r="F84" i="7" s="1"/>
</calcChain>
</file>

<file path=xl/sharedStrings.xml><?xml version="1.0" encoding="utf-8"?>
<sst xmlns="http://schemas.openxmlformats.org/spreadsheetml/2006/main" count="1041" uniqueCount="793">
  <si>
    <t>CODIGO</t>
  </si>
  <si>
    <t>NOMBRE DE LA CUENTA</t>
  </si>
  <si>
    <t>ACTIVO</t>
  </si>
  <si>
    <t>ACTIVO CORRIENTE</t>
  </si>
  <si>
    <t>EFECTIVO Y EQUIVALENTES DE EFECTIVO</t>
  </si>
  <si>
    <t>CAJA</t>
  </si>
  <si>
    <t>INSTITUCIONES FINANCIERAS PÚBLICAS</t>
  </si>
  <si>
    <t>INSTITUCIONES FINANCIERAS PRIVADAS</t>
  </si>
  <si>
    <t>ACTIVOS FINANCIEROS</t>
  </si>
  <si>
    <t>ACTIVOS FINANCIEROS A VALOR RAZONABLE CON CAMBIOS EN RESULTADOS</t>
  </si>
  <si>
    <t>RENTA VARIABLE</t>
  </si>
  <si>
    <t>ACCIONES Y PARTICIPACIONES</t>
  </si>
  <si>
    <t>CUOTAS DE FONDOS COLECTIVOS</t>
  </si>
  <si>
    <t>VALORES DE  TITULARIZACIÓN DE PARTICIPACIÓN</t>
  </si>
  <si>
    <t>UNIDADES DE PARTICIPACIÓN</t>
  </si>
  <si>
    <t>INVERSIONES EN EL EXTERIOR</t>
  </si>
  <si>
    <t>OTROS</t>
  </si>
  <si>
    <t>RENTA FIJA</t>
  </si>
  <si>
    <t>AVALES</t>
  </si>
  <si>
    <t>BONOS DEL ESTADO</t>
  </si>
  <si>
    <t>BONOS DE PRENDA</t>
  </si>
  <si>
    <t>CÉDULAS HIPOTECARIAS</t>
  </si>
  <si>
    <t>CERTIFICADOS FINANCIEROS</t>
  </si>
  <si>
    <t>CERTIFICADOS DE INVERSIÓN</t>
  </si>
  <si>
    <t>CERTIFICADOS DE TESORERÍA</t>
  </si>
  <si>
    <t>CERTIFICADOS DE DEPÓSITO</t>
  </si>
  <si>
    <t>CUPONES</t>
  </si>
  <si>
    <t>DEPÓSITOS A PLAZO</t>
  </si>
  <si>
    <t>LETRAS DE CAMBIO</t>
  </si>
  <si>
    <t>NOTAS DE CRÉDITO</t>
  </si>
  <si>
    <t>OBLIGACIONES</t>
  </si>
  <si>
    <t>FACTURAS COMERCIALES NEGOCIABLES</t>
  </si>
  <si>
    <t>OVERNIGHTS</t>
  </si>
  <si>
    <t>OBLIGACIONES CONVERTIBLES EN ACCIONES</t>
  </si>
  <si>
    <t>PAPEL COMERCIAL</t>
  </si>
  <si>
    <t>PAGARÉS</t>
  </si>
  <si>
    <t>PÓLIZAS DE ACUMULACIÓN</t>
  </si>
  <si>
    <t>TÍTULOS DEL BANCO CENTRAL</t>
  </si>
  <si>
    <t>VALORES DE TITULARIZACIÓN</t>
  </si>
  <si>
    <t>DERIVADOS</t>
  </si>
  <si>
    <t>FORWARD</t>
  </si>
  <si>
    <t>FUTUROS</t>
  </si>
  <si>
    <t>OPCIONES</t>
  </si>
  <si>
    <t>ACTIVOS FINANCIEROS A VALOR RAZONABLE CON CAMBIOS EN OTRO RESULTADO INTEGRAL</t>
  </si>
  <si>
    <t>ACTIVOS FINANCIEROS AL COSTO AMORTIZADO</t>
  </si>
  <si>
    <t>PROVISIÓN POR DETERIORO DE ACTIVOS FINANCIEROS</t>
  </si>
  <si>
    <t>DEUDORES COMERCIALES Y OTRAS CUENTAS POR COBRAR NO RELACIONADOS</t>
  </si>
  <si>
    <t>DE ACTIVIDADES ORDINARIAS QUE GENEREN INTERESES</t>
  </si>
  <si>
    <t>CUENTAS Y DOCUMENTOS A COBRAR  A CLIENTES</t>
  </si>
  <si>
    <t>CUENTAS Y DOCUMENTOS A COBRAR  A TERCEROS</t>
  </si>
  <si>
    <t>DE ACTIVIDADES ORDINARIAS QUE NO GENEREN INTERESES</t>
  </si>
  <si>
    <t>CUENTAS POR COBRAR AL ORIGINADOR</t>
  </si>
  <si>
    <t>COMISIONES POR OPERACIONES  BURSÁTILES</t>
  </si>
  <si>
    <t>CONTRATO DE UNDERWRITING</t>
  </si>
  <si>
    <t>POR  ADMINISTRACIÓN Y MANEJO DE PORTAFOLIOS DE TERCEROS</t>
  </si>
  <si>
    <t>POR ADMINISTRACIÓN Y MANEJO DE FONDOS ADMINISTRADOS</t>
  </si>
  <si>
    <t>POR ADMINISTRACIÓN Y MANEJO DE NEGOCIOS FIDUCIARIOS</t>
  </si>
  <si>
    <t>POR CUSTODIA Y CONSERVACIÓN DE VALORES MATERIALIZADOS</t>
  </si>
  <si>
    <t>POR CUSTODIA Y CONSERVACIÓN DE VALORES DESMATERIALIZADOS</t>
  </si>
  <si>
    <t>POR MANEJO DE LIBRO DE ACCIONES Y ACCIONISTAS</t>
  </si>
  <si>
    <t>POR ASESORÍA</t>
  </si>
  <si>
    <t>DIVIDENDOS POR COBRAR</t>
  </si>
  <si>
    <t>INTERESES POR COBRAR</t>
  </si>
  <si>
    <t>DEUDORES POR INTERMEDIACIÓN DE VALORES</t>
  </si>
  <si>
    <t>ANTICIPO A COMITENTES</t>
  </si>
  <si>
    <t>ANTICIPO A CONSTRUCTOR POR AVANCE DE OBRA</t>
  </si>
  <si>
    <t>DERECHOS POR COMPROMISO DE RECOMPRA</t>
  </si>
  <si>
    <t>OTRAS CUENTAS POR COBRAR NO RELACIONADAS</t>
  </si>
  <si>
    <t>DOCUMENTOS Y CUENTAS POR COBRAR RELACIONADOS</t>
  </si>
  <si>
    <t>POR COBRAR A ACCIONISTAS</t>
  </si>
  <si>
    <t>POR COBRAR A COMPAÑÍAS RELACIONADAS</t>
  </si>
  <si>
    <t>POR COBRAR A CLIENTES</t>
  </si>
  <si>
    <t>OTRAS CUENTAS POR COBRAR RELACIONADAS</t>
  </si>
  <si>
    <t>PROVISIÓN POR CUENTAS INCOBRABLES Y DETERIORO</t>
  </si>
  <si>
    <t>INVENTARIOS</t>
  </si>
  <si>
    <t>INVENTARIOS DE MATERIA PRIMA</t>
  </si>
  <si>
    <t>INVENTARIOS DE PRODUCTOS EN PROCESO</t>
  </si>
  <si>
    <t>INVENTARIOS DE SUMINISTROS O MATERIALES A SER CONSUMIDOS EN EL PROCESO DE PRODUCCION</t>
  </si>
  <si>
    <t>INVENTARIOS DE SUMINISTROS O MATERIALES A SER CONSUMIDOS EN LA PRESTACION DEL SERVICIO</t>
  </si>
  <si>
    <t>INVENTARIOS DE PROD. TERM. Y MERCAD. EN ALMACÉN - PRODUCIDO POR LA COMPAÑÍA</t>
  </si>
  <si>
    <t>INVENTARIOS DE PROD. TERM. Y MERCAD. EN ALMACÉN - COMPRADO A  TERCEROS</t>
  </si>
  <si>
    <t>MERCADERÍAS EN TRÁNSITO</t>
  </si>
  <si>
    <t>OBRAS EN CONSTRUCCION</t>
  </si>
  <si>
    <t>OBRAS TERMINADAS</t>
  </si>
  <si>
    <t>MATERIALES O BIENES PARA LA CONSTRUCCION</t>
  </si>
  <si>
    <t>INVENTARIOS REPUESTOS, HERRAMIENTAS Y ACCESORIOS</t>
  </si>
  <si>
    <t>OTROS INVENTARIOS</t>
  </si>
  <si>
    <t>(-) PROVISIÓN POR VALOR NETO DE REALIZACIÓN Y OTRAS PERDIDAS EN INVENTARIO</t>
  </si>
  <si>
    <t>SERVICIOS Y OTROS PAGOS ANTICIPADOS</t>
  </si>
  <si>
    <t>SEGUROS PAGADOS POR ANTICIPADO</t>
  </si>
  <si>
    <t>ARRIENDOS PAGADOS POR ANTICIPADO</t>
  </si>
  <si>
    <t>ANTICIPOS A PROVEEDORES</t>
  </si>
  <si>
    <t>OTROS ANTICIPOS ENTREGADOS</t>
  </si>
  <si>
    <t>ACTIVOS POR IMPUESTOS CORRIENTES</t>
  </si>
  <si>
    <t>CRÉDITO TRIBUTARIO A FAVOR DE LA EMPRESA (IVA)</t>
  </si>
  <si>
    <t>CRÉDITO TRIBUTARIO A FAVOR DE LA EMPRESA ( I. R.)</t>
  </si>
  <si>
    <t>ANTICIPO DE IMPUESTO A LA RENTA</t>
  </si>
  <si>
    <t>ACTIVOS CORRIENTES MANTENIDOS PARA LA VENTA Y OPERACIONES DISCONTINUADAS</t>
  </si>
  <si>
    <t>CONSTRUCCIONES EN PROCESO (NIC 11 Y SECC.23 PYMES)</t>
  </si>
  <si>
    <t>OTROS ACTIVOS CORRIENTES</t>
  </si>
  <si>
    <t>ACTIVOS NO CORRIENTES</t>
  </si>
  <si>
    <t>PROPIEDAD, PLANTA Y EQUIPO</t>
  </si>
  <si>
    <t>TERRENOS</t>
  </si>
  <si>
    <t>EDIFICIOS</t>
  </si>
  <si>
    <t>CONSTRUCCIONES EN CURSO</t>
  </si>
  <si>
    <t>INSTALACIONES</t>
  </si>
  <si>
    <t>MUEBLES Y ENSERES</t>
  </si>
  <si>
    <t>MAQUINARIA Y EQUIPO</t>
  </si>
  <si>
    <t>NAVES, AEREONAVES, BARCAZAS Y SIMILARES</t>
  </si>
  <si>
    <t>EQUIPO DE COMPUTACIÓN</t>
  </si>
  <si>
    <t>VEHÍCULOS, EQUIPOS DE TRASPORTE Y EQUIPO CAMINERO MÓVIL</t>
  </si>
  <si>
    <t>OTROS PROPIEDADES, PLANTA Y EQUIPO</t>
  </si>
  <si>
    <t>REPUESTOS Y HERRAMIENTAS</t>
  </si>
  <si>
    <t>(-) DEPRECIACIÓN ACUMULADA PROPIEDADES, PLANTA Y EQUIPO</t>
  </si>
  <si>
    <t>(-) DETERIORO  ACUMULADO DE PROPIEDADES, PLANTA Y EQUIPO</t>
  </si>
  <si>
    <t>ACTIVOS DE EXPLORACION Y EXPLOTACION</t>
  </si>
  <si>
    <t>(-) AMORTIZACION ACUMULADA DE ACTIVOS DE EXPLORACIÓN Y EXPLOTACIÓN</t>
  </si>
  <si>
    <t>(-) DETERIORO  ACUMULADO DE ACTIVOS DE EXPLORACIÓN Y EXPLOTACIÓN</t>
  </si>
  <si>
    <t>PROPIEDADES DE INVERSIÓN</t>
  </si>
  <si>
    <t>DERECHOS DE USO SOBRE TERRENOS SUBARRENDADOS</t>
  </si>
  <si>
    <t>DERECHOS DE USO SOBRE EDIFICIOS SUBARRENDADOS</t>
  </si>
  <si>
    <t>(-) DEPRECIACION ACUMULADA DE PROPIEDADES DE INVERSIÓN</t>
  </si>
  <si>
    <t>(-) DETERIORO ACUMULADO DE PROPIEDADES DE INVERSIÓN</t>
  </si>
  <si>
    <t>ACTIVOS BIOLOGICOS</t>
  </si>
  <si>
    <t>ANIMALES VIVOS EN CRECIMIENTO</t>
  </si>
  <si>
    <t>ANIMALES VIVOS EN PRODUCCION</t>
  </si>
  <si>
    <t>PLANTAS EN CRECIMIENTO</t>
  </si>
  <si>
    <t>PLANTAS EN PRODUCCION</t>
  </si>
  <si>
    <t>(-) DEPRECIACION ACUMULADA DE ACTIVOS BIOLÓGICOS</t>
  </si>
  <si>
    <t>(-) DETERIORO ACUMULADO DE ACTIVOS BIOLOGÍCOS</t>
  </si>
  <si>
    <t>ACTIVO INTANGIBLE</t>
  </si>
  <si>
    <t>PLUSVALÍAS</t>
  </si>
  <si>
    <t>MARCAS, PATENTES, DERECHOS DE LLAVE , CUOTAS PATRIMONIALES Y OTROS SIMILARES</t>
  </si>
  <si>
    <t>CONCESIONES Y LICENCIAS</t>
  </si>
  <si>
    <t>(-) AMORTIZACIÓN ACUMULADA DE ACTIVOS INTANGIBLE</t>
  </si>
  <si>
    <t>(-) DETERIORO ACUMULADO DE ACTIVO INTANGIBLE</t>
  </si>
  <si>
    <t xml:space="preserve"> OTROS INTANGIBLES</t>
  </si>
  <si>
    <t>ACTIVOS POR IMPUESTOS DIFERIDOS</t>
  </si>
  <si>
    <t>ACTIVOS FINANCIEROS NO CORRIENTES</t>
  </si>
  <si>
    <t>(-) PROVISION POR DETERIORO DE ACTIVOS FINANCIEROS A VALOR RAZONABLE CON CAMBIOS EN OTRO RESULTADO INTEGRAL</t>
  </si>
  <si>
    <t>ACTIVOS FINANCIEROS A COSTO AMORTIZADO</t>
  </si>
  <si>
    <t>(-) PROVISIÓN POR DETERIORO DE ACTIVOS FINANCIEROS A COSTO AMORTIZADO</t>
  </si>
  <si>
    <t>(-)PROVISIÓN POR DETERIORO DE ACTIVOS FINANCIEROS A VALOR RAZONABLE CON CAMBIOS EN RESULTADOS</t>
  </si>
  <si>
    <t>DERECHO DE USO POR ACTIVOS ARRENDADOS</t>
  </si>
  <si>
    <t>(-) DEPRECIACIÓN ACUMULADA DE ACTIVOS PROVENIENTES POR DERECHOS DE USO</t>
  </si>
  <si>
    <t>(-) DETERIORO ACUMULADO DE ACTIVOS PROVENIENTES POR DERECHOS DE USO</t>
  </si>
  <si>
    <t>OTROS ACTIVOS NO CORRIENTES</t>
  </si>
  <si>
    <t>DERECHOS FIDUCIARIOS</t>
  </si>
  <si>
    <t>DEPÓSITOS EN GARANTÍA</t>
  </si>
  <si>
    <t>DEPÓSITOS EN GARANTÍA POR OPERACIONES BURSÁTILES</t>
  </si>
  <si>
    <t>ACCIONES DEL DEPÓSITO CENTRALIZADO DE VALORES</t>
  </si>
  <si>
    <t>INVERSIONES SUBSIDIARIAS</t>
  </si>
  <si>
    <t>INVERSIONES ASOCIADAS</t>
  </si>
  <si>
    <t>INVERSIONES NEGOCIOS CONJUNTOS</t>
  </si>
  <si>
    <t>OTRAS INVERSIONES</t>
  </si>
  <si>
    <t>(-) PROVISIÓN VALUACIÓN DE INVERSIONES</t>
  </si>
  <si>
    <t>DOCUMENTOS Y CUENTAS POR COBRAR NO RELACIONADOS</t>
  </si>
  <si>
    <t>PASIVO</t>
  </si>
  <si>
    <t>PASIVO CORRIENTE</t>
  </si>
  <si>
    <t>PASIVOS FINANCIEROS A VALOR RAZONABLE CON CAMBIOS EN RESULTADOS</t>
  </si>
  <si>
    <t>PASIVOS POR CONTRATOS DE ARRENDAMIENTO</t>
  </si>
  <si>
    <t>CUENTAS Y DOCUMENTOS POR PAGAR</t>
  </si>
  <si>
    <t>LOCALES</t>
  </si>
  <si>
    <t>PRÉSTAMOS</t>
  </si>
  <si>
    <t>PROVEEDORES</t>
  </si>
  <si>
    <t>OTRAS</t>
  </si>
  <si>
    <t>DEL EXTERIOR</t>
  </si>
  <si>
    <t>OBLIGACIONES CON INSTITUCIONES FINANCIERAS</t>
  </si>
  <si>
    <t>PROVISIONES</t>
  </si>
  <si>
    <t>PORCIÓN CORRIENTE DE VALORES EMITIDOS</t>
  </si>
  <si>
    <t>INTERESES POR PAGAR</t>
  </si>
  <si>
    <t>OTRAS OBLIGACIONES CORRIENTES</t>
  </si>
  <si>
    <t>CON LA ADMINISTRACIÓN TRIBUTARIA</t>
  </si>
  <si>
    <t>IMPUESTO A LA RENTA POR PAGAR DEL EJERCICIO</t>
  </si>
  <si>
    <t>CON EL IESS</t>
  </si>
  <si>
    <t>POR BENEFICIOS DE LEY A EMPLEADOS</t>
  </si>
  <si>
    <t>PARTICIPACIÓN TRABAJADORES POR PAGAR DEL EJERCICIO</t>
  </si>
  <si>
    <t>DIVIDENDOS POR PAGAR</t>
  </si>
  <si>
    <t>CUENTAS POR PAGAR A RELACIONADAS</t>
  </si>
  <si>
    <t>PRÉSTAMOS DE ACCIONISTAS</t>
  </si>
  <si>
    <t>PRÉSTAMOS DE COMPAÑÍAS RELACIONADAS</t>
  </si>
  <si>
    <t>OTROS PASIVOS FINANCIEROS</t>
  </si>
  <si>
    <t>ANTICIPOS</t>
  </si>
  <si>
    <t>ANTICIPOS DE CLIENTES</t>
  </si>
  <si>
    <t>OTROS ANTICIPOS RECIBIDOS</t>
  </si>
  <si>
    <t>PASIVOS DIRECTAMENTE ASOCIADOS CON LOS ACTIVOS NO CORRIENTES Y OPERACIONES DISCONTINUADAS</t>
  </si>
  <si>
    <t>PORCION CORRIENTE DE PROVISIONES POR BENEFICIOS A EMPLEADOS</t>
  </si>
  <si>
    <t>JUBILACION PATRONAL</t>
  </si>
  <si>
    <t>OTROS BENEFICIOS PARA LOS EMPLEADOS</t>
  </si>
  <si>
    <t>OTROS PASIVOS CORRIENTES</t>
  </si>
  <si>
    <t>COMISIONES POR PAGAR</t>
  </si>
  <si>
    <t>POR OPERACIONES BURSÁTILES</t>
  </si>
  <si>
    <t>POR CUSTODIA</t>
  </si>
  <si>
    <t>POR ADMINISTRACIÓN</t>
  </si>
  <si>
    <t>OTRAS COMISIONES</t>
  </si>
  <si>
    <t>SANCIONES Y MULTAS</t>
  </si>
  <si>
    <t>INDEMNIZACIONES</t>
  </si>
  <si>
    <t>OBLIGACIONES JUDICIALES</t>
  </si>
  <si>
    <t>ACREEDORES POR INTERMEDIACIÓN</t>
  </si>
  <si>
    <t>OBLIGACIÓN POR COMPROMISO DE RECOMPRA</t>
  </si>
  <si>
    <t>POR CONTRATOS DE UNDERWRITING</t>
  </si>
  <si>
    <t>PASIVOS FINANCIEROS AL COSTO AMORTIZADO</t>
  </si>
  <si>
    <t>PASIVO NO CORRIENTE</t>
  </si>
  <si>
    <t>PORCIÓN NO CORRIENTE DE VALORES EMITIDOS</t>
  </si>
  <si>
    <t>PROVISIONES POR BENEFICIOS A EMPLEADOS</t>
  </si>
  <si>
    <t>OTROS BENEFICIOS NO CORRIENTES PARA LOS EMPLEADOS</t>
  </si>
  <si>
    <t>OTRAS PROVISIONES</t>
  </si>
  <si>
    <t>PASIVO DIFERIDO</t>
  </si>
  <si>
    <t>INGRESOS DIFERIDOS</t>
  </si>
  <si>
    <t>PASIVOS POR IMPUESTOS DIFERIDOS</t>
  </si>
  <si>
    <t>OTROS PASIVOS NO CORRIENTES</t>
  </si>
  <si>
    <t>PATRIMONIO NETO</t>
  </si>
  <si>
    <t>PATRIMONIO NETO ATRIBUIBLE A LOS PROPIETARIOS DE LA CONTROLADORA</t>
  </si>
  <si>
    <t>CAPITAL</t>
  </si>
  <si>
    <t xml:space="preserve"> CAPITAL SUSCRITO O  ASIGNADO</t>
  </si>
  <si>
    <t xml:space="preserve"> (-) CAPITAL SUSCRITO NO PAGADO, ACCIONES EN TESORERÍA</t>
  </si>
  <si>
    <t>FONDO PATRIMONIAL</t>
  </si>
  <si>
    <t>PATRIMONIO DE LOS NEGOCIOS FIDUCIARIOS</t>
  </si>
  <si>
    <t>PATRIMONIO DE LOS FONDOS DE INVERSIÓN</t>
  </si>
  <si>
    <t>PATRIMONIO DEL FONDO ADMINISTRADO</t>
  </si>
  <si>
    <t>PATRIMONIO DEL FONDO COLECTIVO</t>
  </si>
  <si>
    <t>APORTES DE SOCIOS O ACCIONISTAS PARA FUTURA CAPITALIZACIÓN</t>
  </si>
  <si>
    <t>PRIMA POR EMISIÓN PRIMARIA DE ACCIONES</t>
  </si>
  <si>
    <t>RESERVAS</t>
  </si>
  <si>
    <t>RESERVA LEGAL</t>
  </si>
  <si>
    <t>RESERVAS FACULTATIVA Y ESTATUTARIA</t>
  </si>
  <si>
    <t>OTROS RESULTADOS INTEGRALES</t>
  </si>
  <si>
    <t>SUPERAVIT DE ACTIVOS FINANCIEROS A VALOR RAZONABLE CON CAMBIOS EN OTRO RESULTADO INTEGRAL</t>
  </si>
  <si>
    <t>SUPERAVIT POR REVALUACIÓN DE PROPIEDADES, PLANTA Y EQUIPO</t>
  </si>
  <si>
    <t>SUPERAVIT POR REVALUACION DE ACTIVOS INTANGIBLES</t>
  </si>
  <si>
    <t>OTROS SUPERAVIT POR REVALUACION</t>
  </si>
  <si>
    <t>RESULTADOS ACUMULADOS</t>
  </si>
  <si>
    <t>GANANCIAS ACUMULADAS</t>
  </si>
  <si>
    <t>(-) PÉRDIDAS ACUMULADAS</t>
  </si>
  <si>
    <t>RESULTADOS ACUMULADOS PROVENIENTES DE LA ADOPCION POR PRIMERA VEZ DE LAS NIIF</t>
  </si>
  <si>
    <t>RESERVA DE CAPITAL</t>
  </si>
  <si>
    <t>RESERVA POR DONACIONES</t>
  </si>
  <si>
    <t>RESERVA POR VALUACIÓN</t>
  </si>
  <si>
    <t>SUPERÁVIT POR REVALUACIÓN DE INVERSIONES</t>
  </si>
  <si>
    <t>RESULTADOS DEL EJERCICIO</t>
  </si>
  <si>
    <t>GANANCIA NETA DEL PERIODO</t>
  </si>
  <si>
    <t>(-) PÉRDIDA NETA DEL PERIODO</t>
  </si>
  <si>
    <t>PARTICIPACIÓN CONTROLADORA</t>
  </si>
  <si>
    <t>INGRESOS DE ACTIVIDADES ORDINARIAS</t>
  </si>
  <si>
    <t>VENTA DE BIENES</t>
  </si>
  <si>
    <t>PRESTACION DE SERVICIOS</t>
  </si>
  <si>
    <t>INGRESOS POR ASESORÍA</t>
  </si>
  <si>
    <t>INGRESOS POR ESTRUCTURACIÓN DE OFERTA PÚBLICA DE VALORES</t>
  </si>
  <si>
    <t>INGRESOS POR ESTRUCTURACIÓN DE NEGOCIOS FIDUCIARIOS</t>
  </si>
  <si>
    <t>CONTRATOS DE CONSTRUCCION</t>
  </si>
  <si>
    <t>SUBVENCIONES DEL GOBIERNO</t>
  </si>
  <si>
    <t>REGALÍAS</t>
  </si>
  <si>
    <t>INTERESES</t>
  </si>
  <si>
    <t>INTERESES GENERADOS POR VENTAS A CREDITO</t>
  </si>
  <si>
    <t>INTERESES Y RENDIMIENTOS FINANCIEROS</t>
  </si>
  <si>
    <t>OTROS INTERESES GENERADOS</t>
  </si>
  <si>
    <t>DIVIDENDOS</t>
  </si>
  <si>
    <t>GANANCIA POR MEDICION A VALOR RAZONABLE  DE ACTIVOS BIOLOGICOS</t>
  </si>
  <si>
    <t>INGRESOS POR COMISIONES, PRESTACIÓN DE SERVICIOS, CUSTODIA, REGISTRO, COMPENSACIÓN Y LIQUIDACIÓN</t>
  </si>
  <si>
    <t>COMISIONES GANADAS POR INTERMEDIACIÓN DE VALORES</t>
  </si>
  <si>
    <t>POR OPERACIONES BURSATILES</t>
  </si>
  <si>
    <t>POR COMISIÓN EN OPERACIONES</t>
  </si>
  <si>
    <t>POR INSCRIPCIONES</t>
  </si>
  <si>
    <t>POR MANTENIMIENTO DE INSCRIPCIÓN</t>
  </si>
  <si>
    <t>POR PRESTACIÓN DE SERVICIOS DE ADMINISTRACIÓN Y MANEJO</t>
  </si>
  <si>
    <t>PORTAFOLIO DE TERCEROS</t>
  </si>
  <si>
    <t>FONDOS ADMINISTRADOS</t>
  </si>
  <si>
    <t>FONDOS COLECTIVOS</t>
  </si>
  <si>
    <t>TITULARIZACIÓN</t>
  </si>
  <si>
    <t>FIDEICOMISOS MERCANTILES</t>
  </si>
  <si>
    <t>ENCARGOS FIDUCIARIOS</t>
  </si>
  <si>
    <t>POR CALIFICACION DE RIESGO</t>
  </si>
  <si>
    <t>POR REPRESENTACION DE OBLIGACIONISTAS</t>
  </si>
  <si>
    <t>CUSTODIA, REGISTRO, COMPENSACIÓN Y LIQUIDACIÓN</t>
  </si>
  <si>
    <t>CUSTODIA VALORES MATERIALIZADOS</t>
  </si>
  <si>
    <t>CUSTODIA VALORES DESMATERIALIZADOS</t>
  </si>
  <si>
    <t>COMPENSACIÓN Y LIQUIDACIÓN DE VALORES</t>
  </si>
  <si>
    <t>INGRESOS  FINANCIEROS</t>
  </si>
  <si>
    <t>INTERESES FINANCIEROS</t>
  </si>
  <si>
    <t>GANANCIA EN INVERSIONES EN ASOCIADAS / SUBSIDIARIAS Y OTRAS</t>
  </si>
  <si>
    <t>VALUACION DE INSTRUMENTOS FINANCIEROS A VALOR RAZONABLE CON CAMBIO EN RESULTADOS</t>
  </si>
  <si>
    <t>GANANCIA EN VENTA DE TITULOS VALORES</t>
  </si>
  <si>
    <t>OTROS INGRESOS  FINANCIEROS</t>
  </si>
  <si>
    <t>(-) DESCUENTO EN VENTAS</t>
  </si>
  <si>
    <t>(-) DEVOLUCIONES EN VENTAS</t>
  </si>
  <si>
    <t>(-) BONIFICACIÓN EN PRODUCTO</t>
  </si>
  <si>
    <t>(-) OTRAS REBAJAS COMERCIALES</t>
  </si>
  <si>
    <t>UTILIDAD EN CAMBIO</t>
  </si>
  <si>
    <t>GANANCIA BRUTA</t>
  </si>
  <si>
    <t>OTROS INGRESOS</t>
  </si>
  <si>
    <t>GANANCIA EN VENTA DE PROPIEDAD, PLANTA Y EQUIPO</t>
  </si>
  <si>
    <t>GANANCIA EN VENTA DE ACTIVOS BIOLÓGICOS</t>
  </si>
  <si>
    <t>COSTO DE VENTAS Y PRODUCCIÓN</t>
  </si>
  <si>
    <t>MATERIALES UTILIZADOS O PRODUCTOS VENDIDOS</t>
  </si>
  <si>
    <t>(+) INVENTARIO INICIAL DE BIENES NO PRODUCIDOS POR LA COMPAÑIA</t>
  </si>
  <si>
    <t>(+) COMPRAS NETAS LOCALES DE BIENES NO PRODUCIDOS POR LA COMPAÑIA</t>
  </si>
  <si>
    <t>(+) IMPORTACIONES DE BIENES NO PRODUCIDOS POR LA COMPAÑIA</t>
  </si>
  <si>
    <t>(-) INVENTARIO FINAL DE BIENES NO PRODUCIDOS POR LA COMPAÑIA</t>
  </si>
  <si>
    <t>(+) INVENTARIO INICIAL DE MATERIA PRIMA</t>
  </si>
  <si>
    <t>(+) COMPRAS NETAS LOCALES DE MATERIA PRIMA</t>
  </si>
  <si>
    <t>(+) IMPORTACIONES DE MATERIA PRIMA</t>
  </si>
  <si>
    <t>(-) INVENTARIO FINAL DE MATERIA PRIMA</t>
  </si>
  <si>
    <t>(+) INVENTARIO INICIAL DE PRODUCTOS EN PROCESO</t>
  </si>
  <si>
    <t>(-) INVENTARIO FINAL DE PRODUCTOS EN PROCESO</t>
  </si>
  <si>
    <t>(+) INVENTARIO INICIAL PRODUCTOS TERMINADOS</t>
  </si>
  <si>
    <t>(-) INVENTARIO FINAL DE PRODUCTOS TERMINADOS</t>
  </si>
  <si>
    <t>(+) MANO DE OBRA DIRECTA</t>
  </si>
  <si>
    <t>SUELDOS Y BENEFICIOS SOCIALES</t>
  </si>
  <si>
    <t>GASTOS PLANES DE BENEFICIOS A EMPLEADOS</t>
  </si>
  <si>
    <t>(+) MANO DE OBRA INDIRECTA</t>
  </si>
  <si>
    <t>GASTO PLANES DE BENEFICIOS A EMPLEADOS</t>
  </si>
  <si>
    <t>(+) OTROS COSTOS INDIRECTOS DE FABRICACION</t>
  </si>
  <si>
    <t>DEPRECIACIÓN PROPIEDADES, PLANTA Y EQUIPO</t>
  </si>
  <si>
    <t>DETERIORO O PERDIDAS DE ACTIVOS BIOLOGICOS</t>
  </si>
  <si>
    <t>DETERIORO DE PROPIEDAD, PLANTA Y EQUIPO</t>
  </si>
  <si>
    <t>EFECTO VALOR NETO DE REALIZACION DE INVENTARIOS</t>
  </si>
  <si>
    <t>GASTO POR GARANTIAS EN VENTA DE PRODUCTOS O SERVICIOS</t>
  </si>
  <si>
    <t>MANTENIMIENTO Y REPARACIONES</t>
  </si>
  <si>
    <t>SUMINISTROS MATERIALES Y REPUESTOS</t>
  </si>
  <si>
    <t>OTROS COSTOS DE PRODUCCIÓN</t>
  </si>
  <si>
    <t>COSTOS DE CONTRATOS DE CONSTRUCCIONES</t>
  </si>
  <si>
    <t>COSTOS DE ACUERDO A PORCENTAJES O GRADOS DE TERMINACIÓN</t>
  </si>
  <si>
    <t>GASTOS</t>
  </si>
  <si>
    <t>GASTOS DE VENTA</t>
  </si>
  <si>
    <t>SUELDOS, SALARIOS Y DEMÁS REMUNERACIONES</t>
  </si>
  <si>
    <t>APORTES A LA SEGURIDAD SOCIAL (INCLUIDO FONDO DE RESERVA)</t>
  </si>
  <si>
    <t>BENEFICIOS SOCIALES E INDEMNIZACIONES</t>
  </si>
  <si>
    <t>HONORARIOS, COMISIONES Y DIETAS A PERSONAS NATURALES</t>
  </si>
  <si>
    <t>REMUNERACIONES A OTROS TRABAJADORES AUTÓNOMOS</t>
  </si>
  <si>
    <t>HONORARIOS A EXTRANJEROS POR SERVICIOS OCASIONALES</t>
  </si>
  <si>
    <t>ARRENDAMIENTO</t>
  </si>
  <si>
    <t>COMISIONES</t>
  </si>
  <si>
    <t>PROMOCIÓN Y PUBLICIDAD</t>
  </si>
  <si>
    <t>COMBUSTIBLES</t>
  </si>
  <si>
    <t>LUBRICANTES</t>
  </si>
  <si>
    <t>SEGUROS Y REASEGUROS (PRIMAS Y CESIONES)</t>
  </si>
  <si>
    <t>TRANSPORTE</t>
  </si>
  <si>
    <t>GASTOS DE GESTIÓN (AGASAJOS A ACCIONISTAS, TRABAJADORES Y CLIENTES)</t>
  </si>
  <si>
    <t>GASTOS DE VIAJE</t>
  </si>
  <si>
    <t>AGUA, ENERGÍA, LUZ, Y TELECOMUNICACIONES</t>
  </si>
  <si>
    <t>NOTARIOS Y REGISTRADORES DE LA PROPIEDAD O MERCANTILES</t>
  </si>
  <si>
    <t>DEPRECIACIONES:</t>
  </si>
  <si>
    <t>PROPIEDADES, PLANTA Y EQUIPO</t>
  </si>
  <si>
    <t>ACTIVOS POR DERECHO DE USO</t>
  </si>
  <si>
    <t>AMORTIZACIONES</t>
  </si>
  <si>
    <t>INTANGIBLES</t>
  </si>
  <si>
    <t>OTROS ACTIVOS</t>
  </si>
  <si>
    <t>GASTO DETERIORO</t>
  </si>
  <si>
    <t>INSTRUMENTOS FINANCIEROS</t>
  </si>
  <si>
    <t>CUENTAS POR COBRAR</t>
  </si>
  <si>
    <t>DERECHOS DE USO POR ACTIVOS ARRENDADOS</t>
  </si>
  <si>
    <t>GASTOS POR CANTIDADES ANORMALES DE UTILIZACION EN EL PROCESO DE PRODUCCIÓN:</t>
  </si>
  <si>
    <t>MANO DE OBRA</t>
  </si>
  <si>
    <t>MATERIALES</t>
  </si>
  <si>
    <t>COSTOS DE PRODUCCION</t>
  </si>
  <si>
    <t>GASTO POR REESTRUCTURACION</t>
  </si>
  <si>
    <t>VALOR NETO DE REALIZACION DE INVENTARIOS</t>
  </si>
  <si>
    <t>GASTO IMPUESTO A LA RENTA (ACTIVOS Y PASIVOS DIFERIDOS)</t>
  </si>
  <si>
    <t>SUMINISTROS Y MATERIALES</t>
  </si>
  <si>
    <t>OTROS GASTOS</t>
  </si>
  <si>
    <t>GASTOS ADMINISTRATIVOS</t>
  </si>
  <si>
    <t>IMPUESTOS, CONTRIBUCIONES Y OTROS</t>
  </si>
  <si>
    <t>DEPRECIACIONES</t>
  </si>
  <si>
    <t>GASTO DETERIORO:</t>
  </si>
  <si>
    <t>GASTOS POR CANTIDADES ANORMALES DE UTILIZACION EN EL PROCESO DE PRODUCCIÓN</t>
  </si>
  <si>
    <t>GASTOS FINANCIEROS</t>
  </si>
  <si>
    <t>INTERESES POR PRESTAMOS</t>
  </si>
  <si>
    <t>INTERESES POR ARRENDAMIENTOS</t>
  </si>
  <si>
    <t>INTERESES POR VALORES EMITIDOS</t>
  </si>
  <si>
    <t>OTROS INTERESES</t>
  </si>
  <si>
    <t>COMISIONES PAGADAS POR INTERMEDIACIÓN DE VALORES:</t>
  </si>
  <si>
    <t>GASTOS POR SERVICIOS DE ASESORIA Y ESTRUCTURACION</t>
  </si>
  <si>
    <t xml:space="preserve"> POR ASESORÍA</t>
  </si>
  <si>
    <t>POR ESTRUCTURACIÓN DE OFERTA PÚBLICA DE VALORES</t>
  </si>
  <si>
    <t>POR ESTRUCTURACIÓN DE NEGOCIOS FIDUCIARIOS</t>
  </si>
  <si>
    <t>GASTOS DE FINANCIAMIENTO DE ACTIVOS</t>
  </si>
  <si>
    <t>DIFERENCIA EN CAMBIO</t>
  </si>
  <si>
    <t>PERDIDA EN VENTA DE TITULOS VALORES</t>
  </si>
  <si>
    <t>PERDIDA EN VENTA DE PROPIEDAD, PLANTA Y EQUIPO</t>
  </si>
  <si>
    <t>PERDIDA EN VENTA DE ACTIVOS BIOLOGICOS</t>
  </si>
  <si>
    <t>OTROS GASTOS FINANCIEROS</t>
  </si>
  <si>
    <t>PERDIDA EN INVERSIONES EN ASOCIADAS / SUBSIDIARIAS Y OTRAS</t>
  </si>
  <si>
    <t>GANANCIA (PÉRDIDA) ANTES DE 15% A TRABAJADORES E IMPUESTO A LA RENTA DE OPERACIONES CONTINUADAS</t>
  </si>
  <si>
    <t>15% PARTICIPACIÓN TRABAJADORES</t>
  </si>
  <si>
    <t>GANANCIA (PÉRDIDA) ANTES DE IMPUESTOS</t>
  </si>
  <si>
    <t>IMPUESTO A LA RENTA CAUSADO</t>
  </si>
  <si>
    <t>GANANCIA (PÉRDIDA) DE OPERACIONES CONTINUADAS ANTES DEL IMPUESTO DIFERIDO</t>
  </si>
  <si>
    <t>(-) GASTO POR IMPUESTO DIFERIDO</t>
  </si>
  <si>
    <t>(+) INGRESO POR IMPUESTO DIFERIDO</t>
  </si>
  <si>
    <t>GANANCIA (PERDIDA) DE OPERACIONES CONTINUADAS</t>
  </si>
  <si>
    <t>INGRESOS POR OPERACIONES DISCONTINUADAS</t>
  </si>
  <si>
    <t>GASTOS POR OPERACIONES DISCONTINUADAS</t>
  </si>
  <si>
    <t>GANANCIA (PÉRDIDA) ANTES DE 15% A TRABAJADORES E IMPUESTO A LA RENTA DE OPERACIONES DISCONTINUADAS</t>
  </si>
  <si>
    <t>GANANCIA (PÉRDIDA) ANTES DE IMPUESTOS DE OPERACIONES DISCONTINUADAS</t>
  </si>
  <si>
    <t>GANANCIA (PÉRDIDA) DE OPERACIONES DISCONTINUADAS</t>
  </si>
  <si>
    <t>GANANCIA (PÉRDIDA) NETA DEL PERIODO</t>
  </si>
  <si>
    <t>OTRO RESULTADO INTEGRAL</t>
  </si>
  <si>
    <t>COMPONENTES DEL OTRO RESULTADO INTEGRAL</t>
  </si>
  <si>
    <t>DIFERENCIA DE CAMBIO POR CONVERSIÓN</t>
  </si>
  <si>
    <t>VALUACIÓN DE ACTIVOS FINANCIEROS A VALOR RAZONABLE CON CAMBIO EN OTRO RESULTADO INTEGRAL</t>
  </si>
  <si>
    <t>GANANCIAS POR REVALUACIÓN DE PROPIEDADES, PLANTA  Y EQUIPO</t>
  </si>
  <si>
    <t>GANANCIAS (PÉRDIDAS) ACTUARIALES POR PLANES DE BENEFICIOS DEFINIDOS</t>
  </si>
  <si>
    <t>REVERSION DEL DETERIORO (PÉRDIDA POR DETERIORO) DE UN ACTIVO REVALUADO</t>
  </si>
  <si>
    <t>PARTICIPACION DE OTRO RESULTADO INTEGRAL DE ASOCIADAS</t>
  </si>
  <si>
    <t>IMPUESTO SOBRE LAS GANANCIAS RELATIVO A OTRO RESULTADO INTEGRAL</t>
  </si>
  <si>
    <t>OTROS (DETALLAR EN NOTAS)</t>
  </si>
  <si>
    <t>RESULTADO INTEGRAL TOTAL DEL AÑO</t>
  </si>
  <si>
    <t>PROPIETARIOS DE LA CONTROLADORA</t>
  </si>
  <si>
    <t>PARTICIPACION NO CONTROLADORA (INFORMATIVO)</t>
  </si>
  <si>
    <t>INCREMENTO NETO (DISMINUCIÓN) EN EL EFECTIVO Y EQUIVALENTES AL EFECTIVO, ANTES DEL EFECTO DE LOS CAMBIOS EN LA TASA DE CAMBIO</t>
  </si>
  <si>
    <t>FLUJOS DE EFECTIVO PROCEDENTES DE (UTILIZADOS EN) ACTIVIDADES DE OPERACIÓN</t>
  </si>
  <si>
    <t>Clases de cobros por actividades de operación</t>
  </si>
  <si>
    <t>Cobros procedentes de las ventas de bienes y prestación de servicios</t>
  </si>
  <si>
    <t>Cobros procedentes de regalías, cuotas, comisiones y otros ingresos de actividades ordinarias</t>
  </si>
  <si>
    <t>Cobros procedentes de contratos mantenidos con propósitos de intermediación o para negociar</t>
  </si>
  <si>
    <t>Cobros procedentes de primas y prestaciones, anualidades y otros beneficios de pólizas suscritas</t>
  </si>
  <si>
    <t>Otros cobros por actividades de operación</t>
  </si>
  <si>
    <t>Clases de pagos por actividades de operación</t>
  </si>
  <si>
    <t>Pagos a proveedores por el suministro de bienes y servicios</t>
  </si>
  <si>
    <t>Pagos procedentes de contratos mantenidos para intermediación o para negociar</t>
  </si>
  <si>
    <t>Pagos a y por cuenta de los empleados</t>
  </si>
  <si>
    <t>Pagos por primas y prestaciones, anualidades y otras obligaciones derivadas de las pólizas suscritas</t>
  </si>
  <si>
    <t>Otros pagos por actividades de operación</t>
  </si>
  <si>
    <t>Dividendos pagados</t>
  </si>
  <si>
    <t>Dividendos recibidos</t>
  </si>
  <si>
    <t>Intereses pagados</t>
  </si>
  <si>
    <t>Intereses recibidos</t>
  </si>
  <si>
    <t>Impuestos a las ganancias pagados</t>
  </si>
  <si>
    <t>Otras entradas (salidas) de efectivo</t>
  </si>
  <si>
    <t>FLUJOS DE EFECTIVO PROCEDENTES DE (UTILIZADOS EN) ACTIVIDADES DE INVERSIÓN</t>
  </si>
  <si>
    <t>Efectivo procedentes de la venta de acciones en subsidiarias u otros negocios</t>
  </si>
  <si>
    <t>Efectivo utilizado para adquirir acciones en subsidiarias u otros negocios para tener el control</t>
  </si>
  <si>
    <t>Efectivo utilizado en la compra de participaciones no controladoras</t>
  </si>
  <si>
    <t>Otros cobros por la venta de acciones o instrumentos de deuda de otras entidades</t>
  </si>
  <si>
    <t>Otros pagos para adquirir acciones o instrumentos de deuda de otras entidades</t>
  </si>
  <si>
    <t>Otros cobros por la venta de participaciones en negocios conjuntos</t>
  </si>
  <si>
    <t>Otros pagos para adquirir participaciones en negocios conjuntos</t>
  </si>
  <si>
    <t>Importes procedentes por la venta de propiedades, planta y equipo</t>
  </si>
  <si>
    <t>Adquisiciones de propiedades, planta y equipo</t>
  </si>
  <si>
    <t>Importes procedentes de ventas de activos intangibles</t>
  </si>
  <si>
    <t>Compras de activos intangibles</t>
  </si>
  <si>
    <t>Importes procedentes de otros activos a largo plazo</t>
  </si>
  <si>
    <t>Compras de otros activos a largo plazo</t>
  </si>
  <si>
    <t>Importes procedentes de subvenciones del gobierno</t>
  </si>
  <si>
    <t>Anticipos de efectivo efectuados a terceros</t>
  </si>
  <si>
    <t>Cobros procedentes del reembolso de anticipos y préstamos concedidos a terceros</t>
  </si>
  <si>
    <t>Pagos derivados de contratos de futuro, a término, de opciones y de permuta financiera</t>
  </si>
  <si>
    <t>Cobros procedentes de contratos de futuro, a término, de opciones y de permuta financiera</t>
  </si>
  <si>
    <t>FLUJOS DE EFECTIVO PROCEDENTES DE (UTILIZADOS EN) ACTIVIDADES DE FINANCIACIÓN</t>
  </si>
  <si>
    <t>Aporte en efectivo por aumento de capital</t>
  </si>
  <si>
    <t>Financiamiento por emisión de títulos valores</t>
  </si>
  <si>
    <t>Pagos por adquirir o rescatar las acciones de la entidad</t>
  </si>
  <si>
    <t>Financiación por préstamos a largo plazo</t>
  </si>
  <si>
    <t>Pagos de préstamos</t>
  </si>
  <si>
    <t>Pagos de pasivos por arrendamientos financieros</t>
  </si>
  <si>
    <t>EFECTOS DE LA VARIACION EN LA TASA DE CAMBIO SOBRE EL EFECTIVO Y EQUIVALENTES AL EFECTIVO</t>
  </si>
  <si>
    <t>Efectos de la variación en la tasa de cambio sobre el efectivo y equivalentes al efectivo</t>
  </si>
  <si>
    <t>INCREMENTO (DISMINUCIÓN) NETO DE EFECTIVO Y EQUIVALENTES AL EFECTIVO</t>
  </si>
  <si>
    <t>EFECTIVO Y EQUIVALENTES AL EFECTIVO AL PRINCIPIO DEL PERIODO</t>
  </si>
  <si>
    <t>EFECTIVO Y EQUIVALENTES AL EFECTIVO AL FINAL DEL PERIODO</t>
  </si>
  <si>
    <t>GANANCIA (PÉRDIDA) ANTES DE 15% A TRABAJADORES E IMPUESTO A LA RENTA</t>
  </si>
  <si>
    <t>AJUSTE POR PARTIDAS DISTINTAS AL EFECTIVO</t>
  </si>
  <si>
    <t>Ajustes por gasto de depreciación y amortización</t>
  </si>
  <si>
    <t>Ajustes por gastos por deterioro (reversiones por deterioro) reconocidas en los resultados del periodo</t>
  </si>
  <si>
    <t>Pérdida (ganancia) de moneda extranjera no realizada</t>
  </si>
  <si>
    <t>Pérdidas en cambio de moneda extranjera</t>
  </si>
  <si>
    <t>Ajustes por gastos en provisiones</t>
  </si>
  <si>
    <t>Ajuste por participaciones no controladoras</t>
  </si>
  <si>
    <t>Ajuste por pagos basados en acciones</t>
  </si>
  <si>
    <t>Ajustes por ganancias (pérdidas) en valor razonable</t>
  </si>
  <si>
    <t>Ajustes por gasto por impuesto a la renta</t>
  </si>
  <si>
    <t>Ajustes por gasto por participación trabajadores</t>
  </si>
  <si>
    <t>Otros ajustes por partidas distintas al efectivo</t>
  </si>
  <si>
    <t>CAMBIOS EN ACTIVOS Y PASIVOS</t>
  </si>
  <si>
    <t>(Incremento) disminución en cuentas por cobrar clientes</t>
  </si>
  <si>
    <t>(Incremento) disminución en otras cuentas por cobrar</t>
  </si>
  <si>
    <t>(Incremento) disminución en anticipos de proveedores</t>
  </si>
  <si>
    <t>(Incremento) disminución en inventarios</t>
  </si>
  <si>
    <t>(Incremento) disminución en otros activos</t>
  </si>
  <si>
    <t>Incremento  (disminución) en cuentas por pagar comerciales</t>
  </si>
  <si>
    <t>Incremento  (disminución) en otras cuentas por pagar</t>
  </si>
  <si>
    <t>Incremento  (disminución) en beneficios empleados</t>
  </si>
  <si>
    <t>Incremento  (disminución) en anticipos de clientes</t>
  </si>
  <si>
    <t>Incremento  (disminución) en otros pasivos</t>
  </si>
  <si>
    <t>Flujos de efectivo netos procedentes de (utilizados en) actividades de operación</t>
  </si>
  <si>
    <t>SALDO AL FINAL DEL PERÍODO</t>
  </si>
  <si>
    <t>SALDO REEXPRESADO DEL PERIODO INMEDIATO ANTERIOR</t>
  </si>
  <si>
    <t>CAMBIOS DEL AÑO EN EL PATRIMONIO:</t>
  </si>
  <si>
    <t>SALDO DEL PERÍODO INMEDIATO ANTERIOR</t>
  </si>
  <si>
    <t>CAMBIOS EN POLITICAS CONTABLES:</t>
  </si>
  <si>
    <t>CORRECCION DE ERRORES</t>
  </si>
  <si>
    <t>Aumento (disminución) de capital social</t>
  </si>
  <si>
    <t>Aportes para futuras capitalizaciones</t>
  </si>
  <si>
    <t>Prima por emisión primaria de acciones</t>
  </si>
  <si>
    <t>Dividendos</t>
  </si>
  <si>
    <t>Transferencia de Resultados a otras cuentas patrimoniales</t>
  </si>
  <si>
    <t>Realización de la Reserva por Valuación de Activos Financieros Disponibles para la venta</t>
  </si>
  <si>
    <t>Realización de la Reserva por Valuación de Propiedades, planta y equipo</t>
  </si>
  <si>
    <t>Realización de la Reserva por Valuación de Activos Intangibles</t>
  </si>
  <si>
    <t>Otros cambios (detallar)</t>
  </si>
  <si>
    <t>Resultado Integral Total del Año (Ganancia o pérdida del ejercicio)</t>
  </si>
  <si>
    <t>ESTADO DE SITUACIÓN FINANCIERA</t>
  </si>
  <si>
    <t>ESTADO FLUJO EFECTIVO</t>
  </si>
  <si>
    <t>ESTADO CAMBIO PATRIMONIO</t>
  </si>
  <si>
    <t>VALOR</t>
  </si>
  <si>
    <t>ESTADO DE RESULTADO INTEGRAL</t>
  </si>
  <si>
    <t>SALDO AL FINAL DEL PERIODO / CAPITAL</t>
  </si>
  <si>
    <t>SALDO AL FINAL DEL PERIODO / APORTES DE SOCIOS O ACCIONISTAS PARA FUTURA CAPITALIZACIÓN</t>
  </si>
  <si>
    <t>SALDO AL FINAL DEL PERIODO / PRIMA POR EMISIÓN PRIMARIA DE ACCIONES</t>
  </si>
  <si>
    <t>SALDO AL FINAL DEL PERIODO / RESERVA LEGAL</t>
  </si>
  <si>
    <t>SALDO AL FINAL DEL PERIODO / RESERVAS FACULTATIVA Y ESTATUTARIA</t>
  </si>
  <si>
    <t>SALDO AL FINAL DEL PERIODO / SUPERAVIT DE ACTIVOS FINANCIEROS A VALOR RAZONABLE CON CAMBIOS EN OTRO RESULTADO</t>
  </si>
  <si>
    <t>SALDO AL FINAL DEL PERIODO / SUPERAVIT POR REVALUACIÓN DE PROPIEDADES, PLANTA Y EQUIPO</t>
  </si>
  <si>
    <t>SALDO AL FINAL DEL PERIODO / SUPERAVIT POR REVALUACION DE ACTIVOS INTANGIBLES</t>
  </si>
  <si>
    <t>SALDO AL FINAL DEL PERIODO / OTROS SUPERAVIT POR REVALUACION</t>
  </si>
  <si>
    <t>SALDO AL FINAL DEL PERIODO / GANANCIAS ACUMULADAS</t>
  </si>
  <si>
    <t>SALDO AL FINAL DEL PERIODO / (-) PÉRDIDAS ACUMULADAS</t>
  </si>
  <si>
    <t>SALDO AL FINAL DEL PERIODO / RESULTADOS ACUMULADOS PROVENIENTES DE LA ADOPCION POR PRIMERA VEZ DE LAS NIIF</t>
  </si>
  <si>
    <t>SALDO AL FINAL DEL PERÍODO / RESERVA DE CAPITAL</t>
  </si>
  <si>
    <t>SALDO AL FINAL DEL PERÍODO / RESERVA POR DONACIONES</t>
  </si>
  <si>
    <t>SALDO AL FINAL DEL PERÍODO / RESERVA POR VALUACIÓN</t>
  </si>
  <si>
    <t>SALDO AL FINAL DEL PERIODO / SUPERÁVIT POR REVALUACIÓN DE INVERSIONES</t>
  </si>
  <si>
    <t>SALDO AL FINAL DEL PERIODO / GANANCIA NETA DEL PERIODO</t>
  </si>
  <si>
    <t>SALDO AL FINAL DEL PERIODO / (-) PÉRDIDA NETA DEL PERIODO</t>
  </si>
  <si>
    <t>SALDO REEXPRESADO DEL PERIODO INMEDIATO ANTERIOR / CAPITAL</t>
  </si>
  <si>
    <t>SALDO REEXPRESADO DEL PERIODO INMEDIATO ANTERIOR / APORTES DE SOCIOS O ACCIONISTAS PARA FUTURA CAPITALIZACIÓN</t>
  </si>
  <si>
    <t>SALDO REEXPRESADO DEL PERIODO INMEDIATO ANTERIOR / PRIMA POR EMISIÓN PRIMARIA DE ACCIONES</t>
  </si>
  <si>
    <t>SALDO REEXPRESADO DEL PERIODO INMEDIATO ANTERIOR / / RESERVA LEGAL</t>
  </si>
  <si>
    <t>SALDO REEXPRESADO DEL PERIODO INMEDIATO ANTERIOR  / RESERVAS FACULTATIVA Y ESTATUTARIA</t>
  </si>
  <si>
    <t>SALDO REEXPRESADO DEL PERIODO INMEDIATO ANTERIOR / SUPERAVIT DE ACTIVOS FINANCIEROS A VALOR RAZONABLE CON CAMBIOS EN OTRO RESULTADO</t>
  </si>
  <si>
    <t>SALDO REEXPRESADO DEL PERIODO INMEDIATO ANTERIOR  / SUPERAVIT POR REVALUACIÓN DE PROPIEDADES, PLANTA Y EQUIPO</t>
  </si>
  <si>
    <t>SALDO REEXPRESADO DEL PERIODO INMEDIATO ANTERIOR  / SUPERAVIT POR REVALUACION DE ACTIVOS INTANGIBLES</t>
  </si>
  <si>
    <t>SALDO REEXPRESADO DEL PERIODO INMEDIATO ANTERIOR  / OTROS SUPERAVIT POR REVALUACION</t>
  </si>
  <si>
    <t>SALDO REEXPRESADO DEL PERIODO INMEDIATO ANTERIOR / GANANCIAS ACUMULADAS</t>
  </si>
  <si>
    <t>SALDO REEXPRESADO DEL PERIODO INMEDIATO ANTERIOR / (-) PÉRDIDAS ACUMULADAS</t>
  </si>
  <si>
    <t>SALDO REEXPRESADO DEL PERIODO INMEDIATO ANTERIOR  / RESULTADOS ACUMULADOS PROVENIENTES DE LA ADOPCION POR PRIMERA VEZ DE LAS NIIF</t>
  </si>
  <si>
    <t>SALDO REEXPRESADO DEL PERIODO INMEDIATO ANTERIOR / RESERVA DE CAPITAL</t>
  </si>
  <si>
    <t>SALDO REEXPRESADO DEL PERIODO INMEDIATO ANTERIOR / RESERVA POR DONACIONES</t>
  </si>
  <si>
    <t>SALDO REEXPRESADO DEL PERIODO INMEDIATO ANTERIOR  / RESERVA POR VALUACIÓN</t>
  </si>
  <si>
    <t>SALDO REEXPRESADO DEL PERIODO INMEDIATO ANTERIOR  / SUPERÁVIT POR REVALUACIÓN DE INVERSIONES</t>
  </si>
  <si>
    <t>SALDO REEXPRESADO DEL PERIODO INMEDIATO ANTERIOR  / GANANCIA NETA DEL PERIODO</t>
  </si>
  <si>
    <t>SALDO REEXPRESADO DEL PERIODO INMEDIATO ANTERIOR  / (-) PÉRDIDA NETA DEL PERIODO</t>
  </si>
  <si>
    <t>SALDO DEL PERÍODO INMEDIATO ANTERIOR / CAPITAL</t>
  </si>
  <si>
    <t>SALDO DEL PERÍODO INMEDIATO ANTERIOR  / APORTES DE SOCIOS O ACCIONISTAS PARA FUTURA CAPITALIZACIÓN</t>
  </si>
  <si>
    <t>SALDO DEL PERÍODO INMEDIATO ANTERIOR  / PRIMA POR EMISIÓN PRIMARIA DE ACCIONES</t>
  </si>
  <si>
    <t>SALDO DEL PERÍODO INMEDIATO ANTERIOR / RESERVA LEGAL</t>
  </si>
  <si>
    <t>SALDO DEL PERÍODO INMEDIATO ANTERIOR  / RESERVAS FACULTATIVA Y ESTATUTARIA</t>
  </si>
  <si>
    <t>SALDO DEL PERÍODO INMEDIATO ANTERIOR / SUPERAVIT DE ACTIVOS FINANCIEROS A VALOR RAZONABLE CON CAMBIOS EN OTRO RESULTADO</t>
  </si>
  <si>
    <t>SALDO DEL PERÍODO INMEDIATO ANTERIOR  / SUPERAVIT POR REVALUACIÓN DE PROPIEDADES, PLANTA Y EQUIPO</t>
  </si>
  <si>
    <t>SALDO DEL PERÍODO INMEDIATO ANTERIOR  / SUPERAVIT POR REVALUACION DE ACTIVOS INTANGIBLES</t>
  </si>
  <si>
    <t>SALDO DEL PERÍODO INMEDIATO ANTERIOR  / OTROS SUPERAVIT POR REVALUACION</t>
  </si>
  <si>
    <t>SALDO DEL PERÍODO INMEDIATO ANTERIOR / GANANCIAS ACUMULADAS</t>
  </si>
  <si>
    <t>SALDO DEL PERÍODO INMEDIATO ANTERIOR / (-) PÉRDIDAS ACUMULADAS</t>
  </si>
  <si>
    <t>SALDO DEL PERÍODO INMEDIATO ANTERIOR  / RESULTADOS ACUMULADOS PROVENIENTES DE LA ADOPCION POR PRIMERA VEZ DE LAS NIIF</t>
  </si>
  <si>
    <t>SALDO DEL PERÍODO INMEDIATO ANTERIOR / RESERVA DE CAPITAL</t>
  </si>
  <si>
    <t>SALDO DEL PERÍODO INMEDIATO ANTERIOR / RESERVA POR DONACIONES</t>
  </si>
  <si>
    <t>SALDO DEL PERÍODO INMEDIATO ANTERIOR  / RESERVA POR VALUACIÓN</t>
  </si>
  <si>
    <t>SALDO DEL PERÍODO INMEDIATO ANTERIOR  / SUPERÁVIT POR REVALUACIÓN DE INVERSIONES</t>
  </si>
  <si>
    <t>SALDO DEL PERÍODO INMEDIATO ANTERIOR  / GANANCIA NETA DEL PERIODO</t>
  </si>
  <si>
    <t>SALDO DEL PERÍODO INMEDIATO ANTERIOR  / (-) PÉRDIDA NETA DEL PERIODO</t>
  </si>
  <si>
    <t>CAMBIOS EN POLITICAS CONTABLES: / CAPITAL</t>
  </si>
  <si>
    <t>CAMBIOS EN POLITICAS CONTABLES:  / APORTES DE SOCIOS O ACCIONISTAS PARA FUTURA CAPITALIZACIÓN</t>
  </si>
  <si>
    <t>CAMBIOS EN POLITICAS CONTABLES:  / PRIMA POR EMISIÓN PRIMARIA DE ACCIONES</t>
  </si>
  <si>
    <t>CAMBIOS EN POLITICAS CONTABLES: / RESERVA LEGAL</t>
  </si>
  <si>
    <t>CAMBIOS EN POLITICAS CONTABLES:  / RESERVAS FACULTATIVA Y ESTATUTARIA</t>
  </si>
  <si>
    <t>CAMBIOS EN POLITICAS CONTABLES: / SUPERAVIT DE ACTIVOS FINANCIEROS A VALOR RAZONABLE CON CAMBIOS EN OTRO RESULTADO</t>
  </si>
  <si>
    <t>CAMBIOS EN POLITICAS CONTABLES:  / SUPERAVIT POR REVALUACIÓN DE PROPIEDADES, PLANTA Y EQUIPO</t>
  </si>
  <si>
    <t>CAMBIOS EN POLITICAS CONTABLES:  / SUPERAVIT POR REVALUACION DE ACTIVOS INTANGIBLES</t>
  </si>
  <si>
    <t>CAMBIOS EN POLITICAS CONTABLES:  / OTROS SUPERAVIT POR REVALUACION</t>
  </si>
  <si>
    <t>CAMBIOS EN POLITICAS CONTABLES: / GANANCIAS ACUMULADAS</t>
  </si>
  <si>
    <t>CAMBIOS EN POLITICAS CONTABLES: / (-) PÉRDIDAS ACUMULADAS</t>
  </si>
  <si>
    <t>CAMBIOS EN POLITICAS CONTABLES:  / RESULTADOS ACUMULADOS PROVENIENTES DE LA ADOPCION POR PRIMERA VEZ DE LAS NIIF</t>
  </si>
  <si>
    <t>CAMBIOS EN POLITICAS CONTABLES: / RESERVA DE CAPITAL</t>
  </si>
  <si>
    <t>CAMBIOS EN POLITICAS CONTABLES: / RESERVA POR DONACIONES</t>
  </si>
  <si>
    <t>CAMBIOS EN POLITICAS CONTABLES:  / RESERVA POR VALUACIÓN</t>
  </si>
  <si>
    <t>CAMBIOS EN POLITICAS CONTABLES:  / SUPERÁVIT POR REVALUACIÓN DE INVERSIONES</t>
  </si>
  <si>
    <t>CAMBIOS EN POLITICAS CONTABLES:  / GANANCIA NETA DEL PERIODO</t>
  </si>
  <si>
    <t>CAMBIOS EN POLITICAS CONTABLES:  / (-) PÉRDIDA NETA DEL PERIODO</t>
  </si>
  <si>
    <t>CORRECCIÓN DE ERRORES / CAPITAL</t>
  </si>
  <si>
    <t>CORRECCIÓN DE ERRORES  / APORTES DE SOCIOS O ACCIONISTAS PARA FUTURA CAPITALIZACIÓN</t>
  </si>
  <si>
    <t>CORRECCIÓN DE ERRORES  / PRIMA POR EMISIÓN PRIMARIA DE ACCIONES</t>
  </si>
  <si>
    <t>CORRECCIÓN DE ERRORES / RESERVA LEGAL</t>
  </si>
  <si>
    <t>CORRECCIÓN DE ERRORES  / RESERVAS FACULTATIVA Y ESTATUTARIA</t>
  </si>
  <si>
    <t>CORRECCIÓN DE ERRORES / SUPERAVIT DE ACTIVOS FINANCIEROS A VALOR RAZONABLE CON CAMBIOS EN OTRO RESULTADO</t>
  </si>
  <si>
    <t>CORRECCIÓN DE ERRORES  / SUPERAVIT POR REVALUACIÓN DE PROPIEDADES, PLANTA Y EQUIPO</t>
  </si>
  <si>
    <t>CORRECCIÓN DE ERRORES  / SUPERAVIT POR REVALUACION DE ACTIVOS INTANGIBLES</t>
  </si>
  <si>
    <t>CORRECCIÓN DE ERRORES  / OTROS SUPERAVIT POR REVALUACION</t>
  </si>
  <si>
    <t>CORRECCIÓN DE ERRORES / GANANCIAS ACUMULADAS</t>
  </si>
  <si>
    <t>CORRECCIÓN DE ERRORES / (-) PÉRDIDAS ACUMULADAS</t>
  </si>
  <si>
    <t>CORRECCIÓN DE ERRORES  / RESULTADOS ACUMULADOS PROVENIENTES DE LA ADOPCION POR PRIMERA VEZ DE LAS NIIF</t>
  </si>
  <si>
    <t>CORRECCIÓN DE ERRORES / RESERVA DE CAPITAL</t>
  </si>
  <si>
    <t>CORRECCIÓN DE ERRORES / RESERVA POR DONACIONES</t>
  </si>
  <si>
    <t>CORRECCIÓN DE ERRORES  / RESERVA POR VALUACIÓN</t>
  </si>
  <si>
    <t>CORRECCIÓN DE ERRORES  / SUPERÁVIT POR REVALUACIÓN DE INVERSIONES</t>
  </si>
  <si>
    <t>CORRECCIÓN DE ERRORES  / GANANCIA NETA DEL PERIODO</t>
  </si>
  <si>
    <t>CORRECCIÓN DE ERRORES  / (-) PÉRDIDA NETA DEL PERIODO</t>
  </si>
  <si>
    <t>CAMBIOS DEL AÑO EN EL PATRIMONIO: / CAPITAL</t>
  </si>
  <si>
    <t>CAMBIOS DEL AÑO EN EL PATRIMONIO:  / APORTES DE SOCIOS O ACCIONISTAS PARA FUTURA CAPITALIZACIÓN</t>
  </si>
  <si>
    <t>CAMBIOS DEL AÑO EN EL PATRIMONIO:  / PRIMA POR EMISIÓN PRIMARIA DE ACCIONES</t>
  </si>
  <si>
    <t>CAMBIOS DEL AÑO EN EL PATRIMONIO: / RESERVA LEGAL</t>
  </si>
  <si>
    <t>CAMBIOS DEL AÑO EN EL PATRIMONIO:  / RESERVAS FACULTATIVA Y ESTATUTARIA</t>
  </si>
  <si>
    <t>CAMBIOS DEL AÑO EN EL PATRIMONIO: / SUPERAVIT DE ACTIVOS FINANCIEROS A VALOR RAZONABLE CON CAMBIOS EN OTRO RESULTADO</t>
  </si>
  <si>
    <t>CAMBIOS DEL AÑO EN EL PATRIMONIO:  / SUPERAVIT POR REVALUACIÓN DE PROPIEDADES, PLANTA Y EQUIPO</t>
  </si>
  <si>
    <t>CAMBIOS DEL AÑO EN EL PATRIMONIO:   / SUPERAVIT POR REVALUACION DE ACTIVOS INTANGIBLES</t>
  </si>
  <si>
    <t>CAMBIOS DEL AÑO EN EL PATRIMONIO:  / OTROS SUPERAVIT POR REVALUACION</t>
  </si>
  <si>
    <t>CAMBIOS DEL AÑO EN EL PATRIMONIO: / GANANCIAS ACUMULADAS</t>
  </si>
  <si>
    <t>CAMBIOS DEL AÑO EN EL PATRIMONIO: / (-) PÉRDIDAS ACUMULADAS</t>
  </si>
  <si>
    <t>CAMBIOS DEL AÑO EN EL PATRIMONIO:  / RESULTADOS ACUMULADOS PROVENIENTES DE LA ADOPCION POR PRIMERA VEZ DE LAS NIIF</t>
  </si>
  <si>
    <t>CAMBIOS DEL AÑO EN EL PATRIMONIO: / RESERVA DE CAPITAL</t>
  </si>
  <si>
    <t>CAMBIOS DEL AÑO EN EL PATRIMONIO: / RESERVA POR DONACIONES</t>
  </si>
  <si>
    <t>CAMBIOS DEL AÑO EN EL PATRIMONIO:  / RESERVA POR VALUACIÓN</t>
  </si>
  <si>
    <t>CAMBIOS DEL AÑO EN EL PATRIMONIO:  / SUPERÁVIT POR REVALUACIÓN DE INVERSIONES</t>
  </si>
  <si>
    <t>CAMBIOS DEL AÑO EN EL PATRIMONIO:  / GANANCIA NETA DEL PERIODO</t>
  </si>
  <si>
    <t>CAMBIOS DEL AÑO EN EL PATRIMONIO:  / (-) PÉRDIDA NETA DEL PERIODO</t>
  </si>
  <si>
    <t>Aumento (disminución) de capital social / CAPITAL</t>
  </si>
  <si>
    <t>Aumento (disminución) de capital social / APORTES DE SOCIOS O ACCIONISTAS PARA FUTURA CAPITALIZACIÓN</t>
  </si>
  <si>
    <t>Aumento (disminución) de capital social / PRIMA POR EMISIÓN PRIMARIA DE ACCIONES</t>
  </si>
  <si>
    <t>Aumento (disminución) de capital social / RESERVA LEGAL</t>
  </si>
  <si>
    <t>Aumento (disminución) de capital social  / RESERVAS FACULTATIVA Y ESTATUTARIA</t>
  </si>
  <si>
    <t>Aumento (disminución) de capital social / SUPERAVIT DE ACTIVOS FINANCIEROS A VALOR RAZONABLE CON CAMBIOS EN OTRO RESULTADO</t>
  </si>
  <si>
    <t>Aumento (disminución) de capital social  / SUPERAVIT POR REVALUACIÓN DE PROPIEDADES, PLANTA Y EQUIPO</t>
  </si>
  <si>
    <t>Aumento (disminución) de capital social  / SUPERAVIT POR REVALUACION DE ACTIVOS INTANGIBLES</t>
  </si>
  <si>
    <t>Aumento (disminución) de capital social  / OTROS SUPERAVIT POR REVALUACION</t>
  </si>
  <si>
    <t>Aumento (disminución) de capital social / GANANCIAS ACUMULADAS</t>
  </si>
  <si>
    <t>Aumento (disminución) de capital social / (-) PÉRDIDAS ACUMULADAS</t>
  </si>
  <si>
    <t>Aumento (disminución) de capital social  / RESULTADOS ACUMULADOS PROVENIENTES DE LA ADOPCION POR PRIMERA VEZ DE LAS NIIF</t>
  </si>
  <si>
    <t>Aumento (disminución) de capital social / RESERVA DE CAPITAL</t>
  </si>
  <si>
    <t>Aumento (disminución) de capital social / RESERVA POR DONACIONES</t>
  </si>
  <si>
    <t>Aumento (disminución) de capital social  / RESERVA POR VALUACIÓN</t>
  </si>
  <si>
    <t>Aumento (disminución) de capital social  / SUPERÁVIT POR REVALUACIÓN DE INVERSIONES</t>
  </si>
  <si>
    <t>Aumento (disminución) de capital social  / GANANCIA NETA DEL PERIODO</t>
  </si>
  <si>
    <t>Aumento (disminución) de capital social  / (-) PÉRDIDA NETA DEL PERIODO</t>
  </si>
  <si>
    <t>Aportes para futuras capitalizaciones / CAPITAL</t>
  </si>
  <si>
    <t>Aportes para futuras capitalizaciones  / APORTES DE SOCIOS O ACCIONISTAS PARA FUTURA CAPITALIZACIÓN</t>
  </si>
  <si>
    <t>Aportes para futuras capitalizaciones  / PRIMA POR EMISIÓN PRIMARIA DE ACCIONES</t>
  </si>
  <si>
    <t>Aportes para futuras capitalizaciones / RESERVA LEGAL</t>
  </si>
  <si>
    <t>Aportes para futuras capitalizaciones  / RESERVAS FACULTATIVA Y ESTATUTARIA</t>
  </si>
  <si>
    <t>Aportes para futuras capitalizaciones / SUPERAVIT DE ACTIVOS FINANCIEROS A VALOR RAZONABLE CON CAMBIOS EN OTRO RESULTADO</t>
  </si>
  <si>
    <t>Aportes para futuras capitalizaciones  / SUPERAVIT POR REVALUACIÓN DE PROPIEDADES, PLANTA Y EQUIPO</t>
  </si>
  <si>
    <t>Aportes para futuras capitalizaciones  / SUPERAVIT POR REVALUACION DE ACTIVOS INTANGIBLES</t>
  </si>
  <si>
    <t>Aportes para futuras capitalizaciones  / OTROS SUPERAVIT POR REVALUACION</t>
  </si>
  <si>
    <t>Aportes para futuras capitalizaciones / GANANCIAS ACUMULADAS</t>
  </si>
  <si>
    <t>Aportes para futuras capitalizaciones / (-) PÉRDIDAS ACUMULADAS</t>
  </si>
  <si>
    <t>Aportes para futuras capitalizaciones  / RESULTADOS ACUMULADOS PROVENIENTES DE LA ADOPCION POR PRIMERA VEZ DE LAS NIIF</t>
  </si>
  <si>
    <t>Aportes para futuras capitalizaciones / RESERVA DE CAPITAL</t>
  </si>
  <si>
    <t>Aportes para futuras capitalizaciones / RESERVA POR DONACIONES</t>
  </si>
  <si>
    <t>Aportes para futuras capitalizaciones  / RESERVA POR VALUACIÓN</t>
  </si>
  <si>
    <t>Aportes para futuras capitalizaciones  / SUPERÁVIT POR REVALUACIÓN DE INVERSIONES</t>
  </si>
  <si>
    <t>Aportes para futuras capitalizaciones  / GANANCIA NETA DEL PERIODO</t>
  </si>
  <si>
    <t>Aportes para futuras capitalizaciones  / (-) PÉRDIDA NETA DEL PERIODO</t>
  </si>
  <si>
    <t>Prima por emisión primaria de acciones / CAPITAL</t>
  </si>
  <si>
    <t>Prima por emisión primaria de acciones  / APORTES DE SOCIOS O ACCIONISTAS PARA FUTURA CAPITALIZACIÓN</t>
  </si>
  <si>
    <t>Prima por emisión primaria de acciones  / PRIMA POR EMISIÓN PRIMARIA DE ACCIONES</t>
  </si>
  <si>
    <t>Prima por emisión primaria de acciones / RESERVA LEGAL</t>
  </si>
  <si>
    <t>Prima por emisión primaria de acciones  / RESERVAS FACULTATIVA Y ESTATUTARIA</t>
  </si>
  <si>
    <t>Prima por emisión primaria de acciones / SUPERAVIT DE ACTIVOS FINANCIEROS A VALOR RAZONABLE CON CAMBIOS EN OTRO RESULTADO</t>
  </si>
  <si>
    <t>Prima por emisión primaria de acciones  / SUPERAVIT POR REVALUACIÓN DE PROPIEDADES, PLANTA Y EQUIPO</t>
  </si>
  <si>
    <t>Prima por emisión primaria de acciones  / SUPERAVIT POR REVALUACION DE ACTIVOS INTANGIBLES</t>
  </si>
  <si>
    <t>Prima por emisión primaria de acciones  / OTROS SUPERAVIT POR REVALUACION</t>
  </si>
  <si>
    <t>Prima por emisión primaria de acciones / GANANCIAS ACUMULADAS</t>
  </si>
  <si>
    <t>Prima por emisión primaria de acciones / (-) PÉRDIDAS ACUMULADAS</t>
  </si>
  <si>
    <t>Prima por emisión primaria de acciones  / RESULTADOS ACUMULADOS PROVENIENTES DE LA ADOPCION POR PRIMERA VEZ DE LAS NIIF</t>
  </si>
  <si>
    <t>Prima por emisión primaria de acciones / RESERVA DE CAPITAL</t>
  </si>
  <si>
    <t>Prima por emisión primaria de acciones / RESERVA POR DONACIONES</t>
  </si>
  <si>
    <t>Prima por emisión primaria de acciones  / RESERVA POR VALUACIÓN</t>
  </si>
  <si>
    <t>Prima por emisión primaria de acciones  / SUPERÁVIT POR REVALUACIÓN DE INVERSIONES</t>
  </si>
  <si>
    <t>Prima por emisión primaria de acciones  / GANANCIA NETA DEL PERIODO</t>
  </si>
  <si>
    <t>Prima por emisión primaria de acciones  / (-) PÉRDIDA NETA DEL PERIODO</t>
  </si>
  <si>
    <t>Dividendos / CAPITAL</t>
  </si>
  <si>
    <t>Dividendos  / APORTES DE SOCIOS O ACCIONISTAS PARA FUTURA CAPITALIZACIÓN</t>
  </si>
  <si>
    <t>Dividendos  / PRIMA POR EMISIÓN PRIMARIA DE ACCIONES</t>
  </si>
  <si>
    <t>Dividendos / RESERVA LEGAL</t>
  </si>
  <si>
    <t>Dividendos  / RESERVAS FACULTATIVA Y ESTATUTARIA</t>
  </si>
  <si>
    <t>Dividendos / SUPERAVIT DE ACTIVOS FINANCIEROS A VALOR RAZONABLE CON CAMBIOS EN OTRO RESULTADO</t>
  </si>
  <si>
    <t>Dividendos  / SUPERAVIT POR REVALUACIÓN DE PROPIEDADES, PLANTA Y EQUIPO</t>
  </si>
  <si>
    <t>Dividendos  / OTROS SUPERAVIT POR REVALUACION</t>
  </si>
  <si>
    <t>Dividendos / GANANCIAS ACUMULADAS</t>
  </si>
  <si>
    <t>Dividendos / (-) PÉRDIDAS ACUMULADAS</t>
  </si>
  <si>
    <t>Dividendos  / RESULTADOS ACUMULADOS PROVENIENTES DE LA ADOPCION POR PRIMERA VEZ DE LAS NIIF</t>
  </si>
  <si>
    <t>Dividendos / RESERVA DE CAPITAL</t>
  </si>
  <si>
    <t>Dividendos / RESERVA POR DONACIONES</t>
  </si>
  <si>
    <t>Dividendos  / RESERVA POR VALUACIÓN</t>
  </si>
  <si>
    <t>Dividendos  / SUPERÁVIT POR REVALUACIÓN DE INVERSIONES</t>
  </si>
  <si>
    <t>Dividendos  / GANANCIA NETA DEL PERIODO</t>
  </si>
  <si>
    <t>Dividendos  / (-) PÉRDIDA NETA DEL PERIODO</t>
  </si>
  <si>
    <t>Transferencia de Resultados a otras cuentas patrimoniales / CAPITAL</t>
  </si>
  <si>
    <t>Transferencia de Resultados a otras cuentas patrimoniales  / APORTES DE SOCIOS O ACCIONISTAS PARA FUTURA CAPITALIZACIÓN</t>
  </si>
  <si>
    <t>Transferencia de Resultados a otras cuentas patrimoniales  / PRIMA POR EMISIÓN PRIMARIA DE ACCIONES</t>
  </si>
  <si>
    <t>Transferencia de Resultados a otras cuentas patrimoniales / RESERVA LEGAL</t>
  </si>
  <si>
    <t>Transferencia de Resultados a otras cuentas patrimoniales  / RESERVAS FACULTATIVA Y ESTATUTARIA</t>
  </si>
  <si>
    <t>Transferencia de Resultados a otras cuentas patrimoniales / SUPERAVIT DE ACTIVOS FINANCIEROS A VALOR RAZONABLE CON CAMBIOS EN OTRO RESULTADO</t>
  </si>
  <si>
    <t>Transferencia de Resultados a otras cuentas patrimoniales  / SUPERAVIT POR REVALUACIÓN DE PROPIEDADES, PLANTA Y EQUIPO</t>
  </si>
  <si>
    <t>Transferencia de Resultados a otras cuentas patrimoniales  / SUPERAVIT POR REVALUACION DE ACTIVOS INTANGIBLES</t>
  </si>
  <si>
    <t>Transferencia de Resultados a otras cuentas patrimoniales  / OTROS SUPERAVIT POR REVALUACION</t>
  </si>
  <si>
    <t>Transferencia de Resultados a otras cuentas patrimoniales / GANANCIAS ACUMULADAS</t>
  </si>
  <si>
    <t>Transferencia de Resultados a otras cuentas patrimoniales / (-) PÉRDIDAS ACUMULADAS</t>
  </si>
  <si>
    <t>Transferencia de Resultados a otras cuentas patrimoniales  / RESULTADOS ACUMULADOS PROVENIENTES DE LA ADOPCION POR PRIMERA VEZ DE LAS NIIF</t>
  </si>
  <si>
    <t>Transferencia de Resultados a otras cuentas patrimoniales / RESERVA DE CAPITAL</t>
  </si>
  <si>
    <t>Transferencia de Resultados a otras cuentas patrimoniales / RESERVA POR DONACIONES</t>
  </si>
  <si>
    <t>Transferencia de Resultados a otras cuentas patrimoniales  / RESERVA POR VALUACIÓN</t>
  </si>
  <si>
    <t>Transferencia de Resultados a otras cuentas patrimoniales  / SUPERÁVIT POR REVALUACIÓN DE INVERSIONES</t>
  </si>
  <si>
    <t>Transferencia de Resultados a otras cuentas patrimoniales  / GANANCIA NETA DEL PERIODO</t>
  </si>
  <si>
    <t>Transferencia de Resultados a otras cuentas patrimoniales  / (-) PÉRDIDA NETA DEL PERIODO</t>
  </si>
  <si>
    <t>Realización de la Reserva por Valuación de Activos Financieros Disponibles para la venta / CAPITAL</t>
  </si>
  <si>
    <t>Realización de la Reserva por Valuación de Activos Financieros Disponibles para la venta  / APORTES DE SOCIOS O ACCIONISTAS PARA FUTURA CAPITALIZACIÓN</t>
  </si>
  <si>
    <t>Realización de la Reserva por Valuación de Activos Financieros Disponibles para la venta  / PRIMA POR EMISIÓN PRIMARIA DE ACCIONES</t>
  </si>
  <si>
    <t>Realización de la Reserva por Valuación de Activos Financieros Disponibles para la venta / RESERVA LEGAL</t>
  </si>
  <si>
    <t>Realización de la Reserva por Valuación de Activos Financieros Disponibles para la venta  / RESERVAS FACULTATIVA Y ESTATUTARIA</t>
  </si>
  <si>
    <t>Realización de la Reserva por Valuación de Activos Financieros Disponibles para la venta / SUPERAVIT DE ACTIVOS FINANCIEROS A VALOR RAZONABLE CON CAMBIOS EN OTRO RESULTADO</t>
  </si>
  <si>
    <t>Realización de la Reserva por Valuación de Activos Financieros Disponibles para la venta  / SUPERAVIT POR REVALUACIÓN DE PROPIEDADES, PLANTA Y EQUIPO</t>
  </si>
  <si>
    <t>Realización de la Reserva por Valuación de Activos Financieros Disponibles para la venta  / SUPERAVIT POR REVALUACION DE ACTIVOS INTANGIBLES</t>
  </si>
  <si>
    <t>Realización de la Reserva por Valuación de Activos Financieros Disponibles para la venta  / OTROS SUPERAVIT POR REVALUACION</t>
  </si>
  <si>
    <t>Realización de la Reserva por Valuación de Activos Financieros Disponibles para la venta / GANANCIAS ACUMULADAS</t>
  </si>
  <si>
    <t>Realización de la Reserva por Valuación de Activos Financieros Disponibles para la venta / (-) PÉRDIDAS ACUMULADAS</t>
  </si>
  <si>
    <t>Realización de la Reserva por Valuación de Activos Financieros Disponibles para la venta  / RESULTADOS ACUMULADOS PROVENIENTES DE LA ADOPCION POR PRIMERA VEZ DE LAS NIIF</t>
  </si>
  <si>
    <t>Realización de la Reserva por Valuación de Activos Financieros Disponibles para la venta / RESERVA DE CAPITAL</t>
  </si>
  <si>
    <t>Realización de la Reserva por Valuación de Activos Financieros Disponibles para la venta / RESERVA POR DONACIONES</t>
  </si>
  <si>
    <t>Realización de la Reserva por Valuación de Activos Financieros Disponibles para la venta  / RESERVA POR VALUACIÓN</t>
  </si>
  <si>
    <t>Realización de la Reserva por Valuación de Activos Financieros Disponibles para la venta  / SUPERÁVIT POR REVALUACIÓN DE INVERSIONES</t>
  </si>
  <si>
    <t>Realización de la Reserva por Valuación de Activos Financieros Disponibles para la venta  / GANANCIA NETA DEL PERIODO</t>
  </si>
  <si>
    <t>Realización de la Reserva por Valuación de Activos Financieros Disponibles para la venta  / (-) PÉRDIDA NETA DEL PERIODO</t>
  </si>
  <si>
    <t>Realización de la Reserva por Valuación de Propiedades, planta y equipo / CAPITAL</t>
  </si>
  <si>
    <t>Realización de la Reserva por Valuación de Propiedades, planta y equipo  / APORTES DE SOCIOS O ACCIONISTAS PARA FUTURA CAPITALIZACIÓN</t>
  </si>
  <si>
    <t>Realización de la Reserva por Valuación de Propiedades, planta y equipo  / PRIMA POR EMISIÓN PRIMARIA DE ACCIONES</t>
  </si>
  <si>
    <t>Realización de la Reserva por Valuación de Propiedades, planta y equipo / RESERVA LEGAL</t>
  </si>
  <si>
    <t>Realización de la Reserva por Valuación de Propiedades, planta y equipo  / RESERVAS FACULTATIVA Y ESTATUTARIA</t>
  </si>
  <si>
    <t>Realización de la Reserva por Valuación de Propiedades, planta y equipo / SUPERAVIT DE ACTIVOS FINANCIEROS A VALOR RAZONABLE CON CAMBIOS EN OTRO RESULTADO</t>
  </si>
  <si>
    <t>Realización de la Reserva por Valuación de Propiedades, planta y equipo  / SUPERAVIT POR REVALUACIÓN DE PROPIEDADES, PLANTA Y EQUIPO</t>
  </si>
  <si>
    <t>Realización de la Reserva por Valuación de Propiedades, planta y equipo  / SUPERAVIT POR REVALUACION DE ACTIVOS INTANGIBLES</t>
  </si>
  <si>
    <t>Realización de la Reserva por Valuación de Propiedades, planta y equipo  / OTROS SUPERAVIT POR REVALUACION</t>
  </si>
  <si>
    <t>Realización de la Reserva por Valuación de Propiedades, planta y equipo / GANANCIAS ACUMULADAS</t>
  </si>
  <si>
    <t>Realización de la Reserva por Valuación de Propiedades, planta y equipo / (-) PÉRDIDAS ACUMULADAS</t>
  </si>
  <si>
    <t>Realización de la Reserva por Valuación de Propiedades, planta y equipo  / RESULTADOS ACUMULADOS PROVENIENTES DE LA ADOPCION POR PRIMERA VEZ DE LAS NIIF</t>
  </si>
  <si>
    <t>Realización de la Reserva por Valuación de Propiedades, planta y equipo / RESERVA DE CAPITAL</t>
  </si>
  <si>
    <t>Realización de la Reserva por Valuación de Propiedades, planta y equipo / RESERVA POR DONACIONES</t>
  </si>
  <si>
    <t>Realización de la Reserva por Valuación de Propiedades, planta y equipo  / RESERVA POR VALUACIÓN</t>
  </si>
  <si>
    <t>Realización de la Reserva por Valuación de Propiedades, planta y equipo  / SUPERÁVIT POR REVALUACIÓN DE INVERSIONES</t>
  </si>
  <si>
    <t>Realización de la Reserva por Valuación de Propiedades, planta y equipo  / GANANCIA NETA DEL PERIODO</t>
  </si>
  <si>
    <t>Realización de la Reserva por Valuación de Propiedades, planta y equipo  / (-) PÉRDIDA NETA DEL PERIODO</t>
  </si>
  <si>
    <t>Realización de la Reserva por Valuación de Activos Intangibles / CAPITAL</t>
  </si>
  <si>
    <t>Realización de la Reserva por Valuación de Activos Intangibles  / APORTES DE SOCIOS O ACCIONISTAS PARA FUTURA CAPITALIZACIÓN</t>
  </si>
  <si>
    <t>Realización de la Reserva por Valuación de Activos Intangibles  / PRIMA POR EMISIÓN PRIMARIA DE ACCIONES</t>
  </si>
  <si>
    <t>Realización de la Reserva por Valuación de Activos Intangibles / RESERVA LEGAL</t>
  </si>
  <si>
    <t>Realización de la Reserva por Valuación de Activos Intangibles  / RESERVAS FACULTATIVA Y ESTATUTARIA</t>
  </si>
  <si>
    <t>Realización de la Reserva por Valuación de Activos Intangibles / SUPERAVIT DE ACTIVOS FINANCIEROS A VALOR RAZONABLE CON CAMBIOS EN OTRO RESULTADO</t>
  </si>
  <si>
    <t>Realización de la Reserva por Valuación de Activos Intangibles  / SUPERAVIT POR REVALUACIÓN DE PROPIEDADES, PLANTA Y EQUIPO</t>
  </si>
  <si>
    <t>Realización de la Reserva por Valuación de Activos Intangibles  / SUPERAVIT POR REVALUACION DE ACTIVOS INTANGIBLES</t>
  </si>
  <si>
    <t>Realización de la Reserva por Valuación de Activos Intangibles  / OTROS SUPERAVIT POR REVALUACION</t>
  </si>
  <si>
    <t>Realización de la Reserva por Valuación de Activos Intangibles / GANANCIAS ACUMULADAS</t>
  </si>
  <si>
    <t>Realización de la Reserva por Valuación de Activos Intangibles / (-) PÉRDIDAS ACUMULADAS</t>
  </si>
  <si>
    <t>Realización de la Reserva por Valuación de Activos Intangibles  / RESULTADOS ACUMULADOS PROVENIENTES DE LA ADOPCION POR PRIMERA VEZ DE LAS NIIF</t>
  </si>
  <si>
    <t>Realización de la Reserva por Valuación de Activos Intangibles / RESERVA DE CAPITAL</t>
  </si>
  <si>
    <t>Realización de la Reserva por Valuación de Activos Intangibles / RESERVA POR DONACIONES</t>
  </si>
  <si>
    <t>Realización de la Reserva por Valuación de Activos Intangibles  / RESERVA POR VALUACIÓN</t>
  </si>
  <si>
    <t>Realización de la Reserva por Valuación de Activos Intangibles  / SUPERÁVIT POR REVALUACIÓN DE INVERSIONES</t>
  </si>
  <si>
    <t>Realización de la Reserva por Valuación de Activos Intangibles  / GANANCIA NETA DEL PERIODO</t>
  </si>
  <si>
    <t>Realización de la Reserva por Valuación de Activos Intangibles  / (-) PÉRDIDA NETA DEL PERIODO</t>
  </si>
  <si>
    <t>Otros cambios (detallar) / CAPITAL</t>
  </si>
  <si>
    <t>Otros cambios (detallar)  / APORTES DE SOCIOS O ACCIONISTAS PARA FUTURA CAPITALIZACIÓN</t>
  </si>
  <si>
    <t>Otros cambios (detallar)  / PRIMA POR EMISIÓN PRIMARIA DE ACCIONES</t>
  </si>
  <si>
    <t>Otros cambios (detallar) / RESERVA LEGAL</t>
  </si>
  <si>
    <t>Otros cambios (detallar)  / RESERVAS FACULTATIVA Y ESTATUTARIA</t>
  </si>
  <si>
    <t>Otros cambios (detallar) / SUPERAVIT DE ACTIVOS FINANCIEROS A VALOR RAZONABLE CON CAMBIOS EN OTRO RESULTADO</t>
  </si>
  <si>
    <t>Otros cambios (detallar)  / SUPERAVIT POR REVALUACIÓN DE PROPIEDADES, PLANTA Y EQUIPO</t>
  </si>
  <si>
    <t>Otros cambios (detallar)  / SUPERAVIT POR REVALUACION DE ACTIVOS INTANGIBLES</t>
  </si>
  <si>
    <t>Otros cambios (detallar)  / OTROS SUPERAVIT POR REVALUACION</t>
  </si>
  <si>
    <t>Otros cambios (detallar) / GANANCIAS ACUMULADAS</t>
  </si>
  <si>
    <t>Otros cambios (detallar) / (-) PÉRDIDAS ACUMULADAS</t>
  </si>
  <si>
    <t>Otros cambios (detallar)  / RESULTADOS ACUMULADOS PROVENIENTES DE LA ADOPCION POR PRIMERA VEZ DE LAS NIIF</t>
  </si>
  <si>
    <t>Otros cambios (detallar) / RESERVA DE CAPITAL</t>
  </si>
  <si>
    <t>Otros cambios (detallar) / RESERVA POR DONACIONES</t>
  </si>
  <si>
    <t>Otros cambios (detallar)  / RESERVA POR VALUACIÓN</t>
  </si>
  <si>
    <t>Otros cambios (detallar)  / SUPERÁVIT POR REVALUACIÓN DE INVERSIONES</t>
  </si>
  <si>
    <t>Otros cambios (detallar)  / GANANCIA NETA DEL PERIODO</t>
  </si>
  <si>
    <t>Otros cambios (detallar)  / (-) PÉRDIDA NETA DEL PERIODO</t>
  </si>
  <si>
    <t>Resultado Integral Total del Año (Ganancia o pérdida del ejercicio) / CAPITAL</t>
  </si>
  <si>
    <t>Resultado Integral Total del Año (Ganancia o pérdida del ejercicio)  / APORTES DE SOCIOS O ACCIONISTAS PARA FUTURA CAPITALIZACIÓN</t>
  </si>
  <si>
    <t>Resultado Integral Total del Año (Ganancia o pérdida del ejercicio)  / PRIMA POR EMISIÓN PRIMARIA DE ACCIONES</t>
  </si>
  <si>
    <t>Resultado Integral Total del Año (Ganancia o pérdida del ejercicio) / RESERVA LEGAL</t>
  </si>
  <si>
    <t>Resultado Integral Total del Año (Ganancia o pérdida del ejercicio)  / RESERVAS FACULTATIVA Y ESTATUTARIA</t>
  </si>
  <si>
    <t>Resultado Integral Total del Año (Ganancia o pérdida del ejercicio) / SUPERAVIT DE ACTIVOS FINANCIEROS A VALOR RAZONABLE CON CAMBIOS EN OTRO RESULTADO</t>
  </si>
  <si>
    <t>Resultado Integral Total del Año (Ganancia o pérdida del ejercicio)  / SUPERAVIT POR REVALUACIÓN DE PROPIEDADES, PLANTA Y EQUIPO</t>
  </si>
  <si>
    <t>Resultado Integral Total del Año (Ganancia o pérdida del ejercicio)  / SUPERAVIT POR REVALUACION DE ACTIVOS INTANGIBLES</t>
  </si>
  <si>
    <t>Resultado Integral Total del Año (Ganancia o pérdida del ejercicio)  / OTROS SUPERAVIT POR REVALUACION</t>
  </si>
  <si>
    <t>Resultado Integral Total del Año (Ganancia o pérdida del ejercicio) / GANANCIAS ACUMULADAS</t>
  </si>
  <si>
    <t>Resultado Integral Total del Año (Ganancia o pérdida del ejercicio) / (-) PÉRDIDAS ACUMULADAS</t>
  </si>
  <si>
    <t>Resultado Integral Total del Año (Ganancia o pérdida del ejercicio)  / RESULTADOS ACUMULADOS PROVENIENTES DE LA ADOPCION POR PRIMERA VEZ DE LAS NIIF</t>
  </si>
  <si>
    <t>Resultado Integral Total del Año (Ganancia o pérdida del ejercicio) / RESERVA DE CAPITAL</t>
  </si>
  <si>
    <t>Resultado Integral Total del Año (Ganancia o pérdida del ejercicio) / RESERVA POR DONACIONES</t>
  </si>
  <si>
    <t>Resultado Integral Total del Año (Ganancia o pérdida del ejercicio)  / RESERVA POR VALUACIÓN</t>
  </si>
  <si>
    <t>Resultado Integral Total del Año (Ganancia o pérdida del ejercicio)  / SUPERÁVIT POR REVALUACIÓN DE INVERSIONES</t>
  </si>
  <si>
    <t>Resultado Integral Total del Año (Ganancia o pérdida del ejercicio)  / GANANCIA NETA DEL PERIODO</t>
  </si>
  <si>
    <t>Resultado Integral Total del Año (Ganancia o pérdida del ejercicio)  / (-) PÉRDIDA NETA DEL PERIODO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</si>
</sst>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3366"/>
      <name val="Calibri"/>
      <family val="2"/>
    </font>
    <font>
      <sz val="11"/>
      <color theme="1"/>
      <name val="Calibri"/>
      <family val="2"/>
      <scheme val="minor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2" fontId="7" fillId="0" borderId="1" xfId="1" applyNumberFormat="1" applyFont="1" applyFill="1" applyBorder="1" applyAlignment="1">
      <alignment horizontal="center" vertical="center"/>
    </xf>
    <xf numFmtId="2" fontId="8" fillId="0" borderId="1" xfId="1" applyNumberFormat="1" applyFont="1" applyFill="1" applyBorder="1" applyAlignment="1">
      <alignment horizontal="center" vertical="center"/>
    </xf>
    <xf numFmtId="2" fontId="9" fillId="0" borderId="1" xfId="1" applyNumberFormat="1" applyFont="1" applyFill="1" applyBorder="1" applyAlignment="1">
      <alignment horizontal="center" vertical="center"/>
    </xf>
    <xf numFmtId="2" fontId="10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vertical="center"/>
    </xf>
    <xf numFmtId="43" fontId="3" fillId="0" borderId="1" xfId="1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4" fillId="0" borderId="3" xfId="0" applyFont="1" applyBorder="1" applyAlignment="1">
      <alignment horizontal="justify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2" fontId="7" fillId="0" borderId="1" xfId="1" applyNumberFormat="1" applyFont="1" applyFill="1" applyBorder="1" applyAlignment="1" applyProtection="1">
      <alignment horizontal="center" vertical="center"/>
    </xf>
    <xf numFmtId="2" fontId="0" fillId="0" borderId="0" xfId="0" applyNumberFormat="1"/>
    <xf numFmtId="0" fontId="12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85725</xdr:rowOff>
        </xdr:from>
        <xdr:to>
          <xdr:col>6</xdr:col>
          <xdr:colOff>419100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0</xdr:row>
          <xdr:rowOff>104775</xdr:rowOff>
        </xdr:from>
        <xdr:to>
          <xdr:col>6</xdr:col>
          <xdr:colOff>247650</xdr:colOff>
          <xdr:row>2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161925</xdr:colOff>
          <xdr:row>2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0</xdr:row>
          <xdr:rowOff>123825</xdr:rowOff>
        </xdr:from>
        <xdr:to>
          <xdr:col>7</xdr:col>
          <xdr:colOff>666750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/>
  </sheetPr>
  <dimension ref="B1:D552"/>
  <sheetViews>
    <sheetView tabSelected="1" topLeftCell="A356" workbookViewId="0">
      <selection activeCell="D371" sqref="D371"/>
    </sheetView>
  </sheetViews>
  <sheetFormatPr baseColWidth="10" defaultColWidth="9.140625" defaultRowHeight="15" x14ac:dyDescent="0.25"/>
  <cols>
    <col min="2" max="2" width="11.7109375" style="1" customWidth="1"/>
    <col min="3" max="3" width="57.140625" style="1" customWidth="1"/>
    <col min="4" max="4" width="14.85546875" style="1" customWidth="1"/>
  </cols>
  <sheetData>
    <row r="1" spans="2:4" x14ac:dyDescent="0.25">
      <c r="B1" s="25" t="s">
        <v>501</v>
      </c>
      <c r="C1" s="25"/>
      <c r="D1" s="25"/>
    </row>
    <row r="2" spans="2:4" x14ac:dyDescent="0.25">
      <c r="B2" s="2" t="s">
        <v>0</v>
      </c>
      <c r="C2" s="2" t="s">
        <v>1</v>
      </c>
      <c r="D2" s="2" t="s">
        <v>504</v>
      </c>
    </row>
    <row r="3" spans="2:4" x14ac:dyDescent="0.25">
      <c r="B3" s="7">
        <v>1</v>
      </c>
      <c r="C3" s="7" t="s">
        <v>2</v>
      </c>
      <c r="D3" s="21">
        <f>+D4+D164</f>
        <v>3931.61</v>
      </c>
    </row>
    <row r="4" spans="2:4" x14ac:dyDescent="0.25">
      <c r="B4" s="7">
        <v>101</v>
      </c>
      <c r="C4" s="7" t="s">
        <v>3</v>
      </c>
      <c r="D4" s="8">
        <f>+D5+D9+D138+D152+D157+D161+D162+D163</f>
        <v>3931.61</v>
      </c>
    </row>
    <row r="5" spans="2:4" x14ac:dyDescent="0.25">
      <c r="B5" s="7">
        <v>10101</v>
      </c>
      <c r="C5" s="7" t="s">
        <v>4</v>
      </c>
      <c r="D5" s="8">
        <f>SUM(D6:D8)</f>
        <v>0</v>
      </c>
    </row>
    <row r="6" spans="2:4" x14ac:dyDescent="0.25">
      <c r="B6" s="7">
        <v>1010101</v>
      </c>
      <c r="C6" s="7" t="s">
        <v>5</v>
      </c>
      <c r="D6" s="9"/>
    </row>
    <row r="7" spans="2:4" x14ac:dyDescent="0.25">
      <c r="B7" s="7">
        <v>1010102</v>
      </c>
      <c r="C7" s="7" t="s">
        <v>6</v>
      </c>
      <c r="D7" s="9"/>
    </row>
    <row r="8" spans="2:4" x14ac:dyDescent="0.25">
      <c r="B8" s="7">
        <v>1010103</v>
      </c>
      <c r="C8" s="7" t="s">
        <v>7</v>
      </c>
      <c r="D8" s="9"/>
    </row>
    <row r="9" spans="2:4" x14ac:dyDescent="0.25">
      <c r="B9" s="7">
        <v>10102</v>
      </c>
      <c r="C9" s="7" t="s">
        <v>8</v>
      </c>
      <c r="D9" s="8">
        <f>+D10+D47+D79+D104+D108+D132+D137</f>
        <v>3931.61</v>
      </c>
    </row>
    <row r="10" spans="2:4" x14ac:dyDescent="0.25">
      <c r="B10" s="7">
        <v>1010201</v>
      </c>
      <c r="C10" s="7" t="s">
        <v>9</v>
      </c>
      <c r="D10" s="8">
        <f>+D11+D18+D42</f>
        <v>0</v>
      </c>
    </row>
    <row r="11" spans="2:4" x14ac:dyDescent="0.25">
      <c r="B11" s="7">
        <v>101020101</v>
      </c>
      <c r="C11" s="7" t="s">
        <v>10</v>
      </c>
      <c r="D11" s="8">
        <f>SUM(D12:D17)</f>
        <v>0</v>
      </c>
    </row>
    <row r="12" spans="2:4" x14ac:dyDescent="0.25">
      <c r="B12" s="7">
        <v>10102010101</v>
      </c>
      <c r="C12" s="7" t="s">
        <v>11</v>
      </c>
      <c r="D12" s="9"/>
    </row>
    <row r="13" spans="2:4" x14ac:dyDescent="0.25">
      <c r="B13" s="7">
        <v>10102010102</v>
      </c>
      <c r="C13" s="7" t="s">
        <v>12</v>
      </c>
      <c r="D13" s="9"/>
    </row>
    <row r="14" spans="2:4" x14ac:dyDescent="0.25">
      <c r="B14" s="7">
        <v>10102010103</v>
      </c>
      <c r="C14" s="7" t="s">
        <v>13</v>
      </c>
      <c r="D14" s="9"/>
    </row>
    <row r="15" spans="2:4" x14ac:dyDescent="0.25">
      <c r="B15" s="7">
        <v>10102010104</v>
      </c>
      <c r="C15" s="7" t="s">
        <v>14</v>
      </c>
      <c r="D15" s="9"/>
    </row>
    <row r="16" spans="2:4" x14ac:dyDescent="0.25">
      <c r="B16" s="7">
        <v>10102010105</v>
      </c>
      <c r="C16" s="7" t="s">
        <v>15</v>
      </c>
      <c r="D16" s="9"/>
    </row>
    <row r="17" spans="2:4" x14ac:dyDescent="0.25">
      <c r="B17" s="7">
        <v>10102010106</v>
      </c>
      <c r="C17" s="7" t="s">
        <v>16</v>
      </c>
      <c r="D17" s="9"/>
    </row>
    <row r="18" spans="2:4" x14ac:dyDescent="0.25">
      <c r="B18" s="7">
        <v>101020102</v>
      </c>
      <c r="C18" s="7" t="s">
        <v>17</v>
      </c>
      <c r="D18" s="8">
        <f>SUM(D19:D41)</f>
        <v>0</v>
      </c>
    </row>
    <row r="19" spans="2:4" x14ac:dyDescent="0.25">
      <c r="B19" s="7">
        <v>10102010201</v>
      </c>
      <c r="C19" s="7" t="s">
        <v>18</v>
      </c>
      <c r="D19" s="9"/>
    </row>
    <row r="20" spans="2:4" x14ac:dyDescent="0.25">
      <c r="B20" s="7">
        <v>10102010202</v>
      </c>
      <c r="C20" s="7" t="s">
        <v>19</v>
      </c>
      <c r="D20" s="9"/>
    </row>
    <row r="21" spans="2:4" x14ac:dyDescent="0.25">
      <c r="B21" s="7">
        <v>10102010203</v>
      </c>
      <c r="C21" s="7" t="s">
        <v>20</v>
      </c>
      <c r="D21" s="9"/>
    </row>
    <row r="22" spans="2:4" x14ac:dyDescent="0.25">
      <c r="B22" s="7">
        <v>10102010204</v>
      </c>
      <c r="C22" s="7" t="s">
        <v>21</v>
      </c>
      <c r="D22" s="9"/>
    </row>
    <row r="23" spans="2:4" x14ac:dyDescent="0.25">
      <c r="B23" s="7">
        <v>10102010205</v>
      </c>
      <c r="C23" s="7" t="s">
        <v>22</v>
      </c>
      <c r="D23" s="9"/>
    </row>
    <row r="24" spans="2:4" x14ac:dyDescent="0.25">
      <c r="B24" s="7">
        <v>10102010206</v>
      </c>
      <c r="C24" s="7" t="s">
        <v>23</v>
      </c>
      <c r="D24" s="9"/>
    </row>
    <row r="25" spans="2:4" x14ac:dyDescent="0.25">
      <c r="B25" s="7">
        <v>10102010207</v>
      </c>
      <c r="C25" s="7" t="s">
        <v>24</v>
      </c>
      <c r="D25" s="9"/>
    </row>
    <row r="26" spans="2:4" x14ac:dyDescent="0.25">
      <c r="B26" s="7">
        <v>10102010208</v>
      </c>
      <c r="C26" s="7" t="s">
        <v>25</v>
      </c>
      <c r="D26" s="9"/>
    </row>
    <row r="27" spans="2:4" x14ac:dyDescent="0.25">
      <c r="B27" s="7">
        <v>10102010209</v>
      </c>
      <c r="C27" s="7" t="s">
        <v>26</v>
      </c>
      <c r="D27" s="9"/>
    </row>
    <row r="28" spans="2:4" x14ac:dyDescent="0.25">
      <c r="B28" s="7">
        <v>10102010210</v>
      </c>
      <c r="C28" s="7" t="s">
        <v>27</v>
      </c>
      <c r="D28" s="9"/>
    </row>
    <row r="29" spans="2:4" x14ac:dyDescent="0.25">
      <c r="B29" s="7">
        <v>10102010211</v>
      </c>
      <c r="C29" s="7" t="s">
        <v>28</v>
      </c>
      <c r="D29" s="9"/>
    </row>
    <row r="30" spans="2:4" x14ac:dyDescent="0.25">
      <c r="B30" s="7">
        <v>10102010212</v>
      </c>
      <c r="C30" s="7" t="s">
        <v>29</v>
      </c>
      <c r="D30" s="9"/>
    </row>
    <row r="31" spans="2:4" x14ac:dyDescent="0.25">
      <c r="B31" s="7">
        <v>10102010213</v>
      </c>
      <c r="C31" s="7" t="s">
        <v>30</v>
      </c>
      <c r="D31" s="9"/>
    </row>
    <row r="32" spans="2:4" x14ac:dyDescent="0.25">
      <c r="B32" s="7">
        <v>10102010214</v>
      </c>
      <c r="C32" s="7" t="s">
        <v>31</v>
      </c>
      <c r="D32" s="9"/>
    </row>
    <row r="33" spans="2:4" x14ac:dyDescent="0.25">
      <c r="B33" s="7">
        <v>10102010215</v>
      </c>
      <c r="C33" s="7" t="s">
        <v>32</v>
      </c>
      <c r="D33" s="9"/>
    </row>
    <row r="34" spans="2:4" x14ac:dyDescent="0.25">
      <c r="B34" s="7">
        <v>10102010216</v>
      </c>
      <c r="C34" s="7" t="s">
        <v>33</v>
      </c>
      <c r="D34" s="9"/>
    </row>
    <row r="35" spans="2:4" x14ac:dyDescent="0.25">
      <c r="B35" s="7">
        <v>10102010217</v>
      </c>
      <c r="C35" s="7" t="s">
        <v>34</v>
      </c>
      <c r="D35" s="9"/>
    </row>
    <row r="36" spans="2:4" x14ac:dyDescent="0.25">
      <c r="B36" s="7">
        <v>10102010218</v>
      </c>
      <c r="C36" s="7" t="s">
        <v>35</v>
      </c>
      <c r="D36" s="9"/>
    </row>
    <row r="37" spans="2:4" x14ac:dyDescent="0.25">
      <c r="B37" s="7">
        <v>10102010219</v>
      </c>
      <c r="C37" s="7" t="s">
        <v>36</v>
      </c>
      <c r="D37" s="9"/>
    </row>
    <row r="38" spans="2:4" x14ac:dyDescent="0.25">
      <c r="B38" s="7">
        <v>10102010220</v>
      </c>
      <c r="C38" s="7" t="s">
        <v>37</v>
      </c>
      <c r="D38" s="9"/>
    </row>
    <row r="39" spans="2:4" x14ac:dyDescent="0.25">
      <c r="B39" s="7">
        <v>10102010221</v>
      </c>
      <c r="C39" s="7" t="s">
        <v>38</v>
      </c>
      <c r="D39" s="9"/>
    </row>
    <row r="40" spans="2:4" x14ac:dyDescent="0.25">
      <c r="B40" s="7">
        <v>10102010222</v>
      </c>
      <c r="C40" s="7" t="s">
        <v>15</v>
      </c>
      <c r="D40" s="9"/>
    </row>
    <row r="41" spans="2:4" x14ac:dyDescent="0.25">
      <c r="B41" s="7">
        <v>10102010223</v>
      </c>
      <c r="C41" s="7" t="s">
        <v>16</v>
      </c>
      <c r="D41" s="9"/>
    </row>
    <row r="42" spans="2:4" x14ac:dyDescent="0.25">
      <c r="B42" s="7">
        <v>101020103</v>
      </c>
      <c r="C42" s="7" t="s">
        <v>39</v>
      </c>
      <c r="D42" s="8">
        <f>SUM(D43:D46)</f>
        <v>0</v>
      </c>
    </row>
    <row r="43" spans="2:4" x14ac:dyDescent="0.25">
      <c r="B43" s="7">
        <v>10102010301</v>
      </c>
      <c r="C43" s="7" t="s">
        <v>40</v>
      </c>
      <c r="D43" s="9"/>
    </row>
    <row r="44" spans="2:4" x14ac:dyDescent="0.25">
      <c r="B44" s="7">
        <v>10102010302</v>
      </c>
      <c r="C44" s="7" t="s">
        <v>41</v>
      </c>
      <c r="D44" s="9"/>
    </row>
    <row r="45" spans="2:4" x14ac:dyDescent="0.25">
      <c r="B45" s="7">
        <v>10102010303</v>
      </c>
      <c r="C45" s="7" t="s">
        <v>42</v>
      </c>
      <c r="D45" s="9"/>
    </row>
    <row r="46" spans="2:4" x14ac:dyDescent="0.25">
      <c r="B46" s="7">
        <v>10102010304</v>
      </c>
      <c r="C46" s="7" t="s">
        <v>16</v>
      </c>
      <c r="D46" s="9"/>
    </row>
    <row r="47" spans="2:4" x14ac:dyDescent="0.25">
      <c r="B47" s="7">
        <v>1010202</v>
      </c>
      <c r="C47" s="7" t="s">
        <v>43</v>
      </c>
      <c r="D47" s="8">
        <f>+D48+D55</f>
        <v>0</v>
      </c>
    </row>
    <row r="48" spans="2:4" x14ac:dyDescent="0.25">
      <c r="B48" s="7">
        <v>101020201</v>
      </c>
      <c r="C48" s="7" t="s">
        <v>10</v>
      </c>
      <c r="D48" s="8">
        <f>SUM(D49:D54)</f>
        <v>0</v>
      </c>
    </row>
    <row r="49" spans="2:4" x14ac:dyDescent="0.25">
      <c r="B49" s="7">
        <v>10102020101</v>
      </c>
      <c r="C49" s="7" t="s">
        <v>11</v>
      </c>
      <c r="D49" s="9"/>
    </row>
    <row r="50" spans="2:4" x14ac:dyDescent="0.25">
      <c r="B50" s="7">
        <v>10102020102</v>
      </c>
      <c r="C50" s="7" t="s">
        <v>12</v>
      </c>
      <c r="D50" s="9"/>
    </row>
    <row r="51" spans="2:4" x14ac:dyDescent="0.25">
      <c r="B51" s="7">
        <v>10102020103</v>
      </c>
      <c r="C51" s="7" t="s">
        <v>14</v>
      </c>
      <c r="D51" s="9"/>
    </row>
    <row r="52" spans="2:4" x14ac:dyDescent="0.25">
      <c r="B52" s="7">
        <v>10102020104</v>
      </c>
      <c r="C52" s="7" t="s">
        <v>13</v>
      </c>
      <c r="D52" s="9"/>
    </row>
    <row r="53" spans="2:4" x14ac:dyDescent="0.25">
      <c r="B53" s="7">
        <v>10102020105</v>
      </c>
      <c r="C53" s="7" t="s">
        <v>15</v>
      </c>
      <c r="D53" s="9"/>
    </row>
    <row r="54" spans="2:4" x14ac:dyDescent="0.25">
      <c r="B54" s="7">
        <v>10102020106</v>
      </c>
      <c r="C54" s="7" t="s">
        <v>16</v>
      </c>
      <c r="D54" s="9"/>
    </row>
    <row r="55" spans="2:4" x14ac:dyDescent="0.25">
      <c r="B55" s="7">
        <v>101020202</v>
      </c>
      <c r="C55" s="7" t="s">
        <v>17</v>
      </c>
      <c r="D55" s="8">
        <f>SUM(D56:D78)</f>
        <v>0</v>
      </c>
    </row>
    <row r="56" spans="2:4" x14ac:dyDescent="0.25">
      <c r="B56" s="7">
        <v>10102020201</v>
      </c>
      <c r="C56" s="7" t="s">
        <v>18</v>
      </c>
      <c r="D56" s="9"/>
    </row>
    <row r="57" spans="2:4" x14ac:dyDescent="0.25">
      <c r="B57" s="7">
        <v>10102020202</v>
      </c>
      <c r="C57" s="7" t="s">
        <v>19</v>
      </c>
      <c r="D57" s="9"/>
    </row>
    <row r="58" spans="2:4" x14ac:dyDescent="0.25">
      <c r="B58" s="7">
        <v>10102020203</v>
      </c>
      <c r="C58" s="7" t="s">
        <v>20</v>
      </c>
      <c r="D58" s="9"/>
    </row>
    <row r="59" spans="2:4" x14ac:dyDescent="0.25">
      <c r="B59" s="7">
        <v>10102020204</v>
      </c>
      <c r="C59" s="7" t="s">
        <v>21</v>
      </c>
      <c r="D59" s="9"/>
    </row>
    <row r="60" spans="2:4" x14ac:dyDescent="0.25">
      <c r="B60" s="7">
        <v>10102020205</v>
      </c>
      <c r="C60" s="7" t="s">
        <v>22</v>
      </c>
      <c r="D60" s="9"/>
    </row>
    <row r="61" spans="2:4" x14ac:dyDescent="0.25">
      <c r="B61" s="7">
        <v>10102020206</v>
      </c>
      <c r="C61" s="7" t="s">
        <v>23</v>
      </c>
      <c r="D61" s="9"/>
    </row>
    <row r="62" spans="2:4" x14ac:dyDescent="0.25">
      <c r="B62" s="7">
        <v>10102020207</v>
      </c>
      <c r="C62" s="7" t="s">
        <v>24</v>
      </c>
      <c r="D62" s="9"/>
    </row>
    <row r="63" spans="2:4" x14ac:dyDescent="0.25">
      <c r="B63" s="7">
        <v>10102020208</v>
      </c>
      <c r="C63" s="7" t="s">
        <v>25</v>
      </c>
      <c r="D63" s="9"/>
    </row>
    <row r="64" spans="2:4" x14ac:dyDescent="0.25">
      <c r="B64" s="7">
        <v>10102020209</v>
      </c>
      <c r="C64" s="7" t="s">
        <v>26</v>
      </c>
      <c r="D64" s="9"/>
    </row>
    <row r="65" spans="2:4" x14ac:dyDescent="0.25">
      <c r="B65" s="7">
        <v>10102020210</v>
      </c>
      <c r="C65" s="7" t="s">
        <v>27</v>
      </c>
      <c r="D65" s="9"/>
    </row>
    <row r="66" spans="2:4" x14ac:dyDescent="0.25">
      <c r="B66" s="7">
        <v>10102020211</v>
      </c>
      <c r="C66" s="7" t="s">
        <v>28</v>
      </c>
      <c r="D66" s="9"/>
    </row>
    <row r="67" spans="2:4" x14ac:dyDescent="0.25">
      <c r="B67" s="7">
        <v>10102020212</v>
      </c>
      <c r="C67" s="7" t="s">
        <v>29</v>
      </c>
      <c r="D67" s="9"/>
    </row>
    <row r="68" spans="2:4" x14ac:dyDescent="0.25">
      <c r="B68" s="7">
        <v>10102020213</v>
      </c>
      <c r="C68" s="7" t="s">
        <v>30</v>
      </c>
      <c r="D68" s="9"/>
    </row>
    <row r="69" spans="2:4" x14ac:dyDescent="0.25">
      <c r="B69" s="7">
        <v>10102020214</v>
      </c>
      <c r="C69" s="7" t="s">
        <v>31</v>
      </c>
      <c r="D69" s="9"/>
    </row>
    <row r="70" spans="2:4" x14ac:dyDescent="0.25">
      <c r="B70" s="7">
        <v>10102020215</v>
      </c>
      <c r="C70" s="7" t="s">
        <v>32</v>
      </c>
      <c r="D70" s="9"/>
    </row>
    <row r="71" spans="2:4" x14ac:dyDescent="0.25">
      <c r="B71" s="7">
        <v>10102020216</v>
      </c>
      <c r="C71" s="7" t="s">
        <v>33</v>
      </c>
      <c r="D71" s="9"/>
    </row>
    <row r="72" spans="2:4" x14ac:dyDescent="0.25">
      <c r="B72" s="7">
        <v>10102020217</v>
      </c>
      <c r="C72" s="7" t="s">
        <v>34</v>
      </c>
      <c r="D72" s="9"/>
    </row>
    <row r="73" spans="2:4" x14ac:dyDescent="0.25">
      <c r="B73" s="7">
        <v>10102020218</v>
      </c>
      <c r="C73" s="7" t="s">
        <v>35</v>
      </c>
      <c r="D73" s="9"/>
    </row>
    <row r="74" spans="2:4" x14ac:dyDescent="0.25">
      <c r="B74" s="7">
        <v>10102020219</v>
      </c>
      <c r="C74" s="7" t="s">
        <v>36</v>
      </c>
      <c r="D74" s="9"/>
    </row>
    <row r="75" spans="2:4" x14ac:dyDescent="0.25">
      <c r="B75" s="7">
        <v>10102020220</v>
      </c>
      <c r="C75" s="7" t="s">
        <v>37</v>
      </c>
      <c r="D75" s="9"/>
    </row>
    <row r="76" spans="2:4" x14ac:dyDescent="0.25">
      <c r="B76" s="7">
        <v>10102020221</v>
      </c>
      <c r="C76" s="7" t="s">
        <v>38</v>
      </c>
      <c r="D76" s="9"/>
    </row>
    <row r="77" spans="2:4" x14ac:dyDescent="0.25">
      <c r="B77" s="7">
        <v>10102020222</v>
      </c>
      <c r="C77" s="7" t="s">
        <v>15</v>
      </c>
      <c r="D77" s="9"/>
    </row>
    <row r="78" spans="2:4" x14ac:dyDescent="0.25">
      <c r="B78" s="7">
        <v>10102020223</v>
      </c>
      <c r="C78" s="7" t="s">
        <v>16</v>
      </c>
      <c r="D78" s="9"/>
    </row>
    <row r="79" spans="2:4" x14ac:dyDescent="0.25">
      <c r="B79" s="7">
        <v>1010203</v>
      </c>
      <c r="C79" s="7" t="s">
        <v>44</v>
      </c>
      <c r="D79" s="8">
        <f>+D80</f>
        <v>0</v>
      </c>
    </row>
    <row r="80" spans="2:4" x14ac:dyDescent="0.25">
      <c r="B80" s="7">
        <v>101020302</v>
      </c>
      <c r="C80" s="7" t="s">
        <v>17</v>
      </c>
      <c r="D80" s="8">
        <f>SUM(D81:D103)</f>
        <v>0</v>
      </c>
    </row>
    <row r="81" spans="2:4" x14ac:dyDescent="0.25">
      <c r="B81" s="7">
        <v>10102030201</v>
      </c>
      <c r="C81" s="7" t="s">
        <v>18</v>
      </c>
      <c r="D81" s="9"/>
    </row>
    <row r="82" spans="2:4" x14ac:dyDescent="0.25">
      <c r="B82" s="7">
        <v>10102030202</v>
      </c>
      <c r="C82" s="7" t="s">
        <v>19</v>
      </c>
      <c r="D82" s="9"/>
    </row>
    <row r="83" spans="2:4" x14ac:dyDescent="0.25">
      <c r="B83" s="7">
        <v>10102030203</v>
      </c>
      <c r="C83" s="7" t="s">
        <v>20</v>
      </c>
      <c r="D83" s="9"/>
    </row>
    <row r="84" spans="2:4" x14ac:dyDescent="0.25">
      <c r="B84" s="7">
        <v>10102030204</v>
      </c>
      <c r="C84" s="7" t="s">
        <v>21</v>
      </c>
      <c r="D84" s="9"/>
    </row>
    <row r="85" spans="2:4" x14ac:dyDescent="0.25">
      <c r="B85" s="7">
        <v>10102030205</v>
      </c>
      <c r="C85" s="7" t="s">
        <v>22</v>
      </c>
      <c r="D85" s="9"/>
    </row>
    <row r="86" spans="2:4" x14ac:dyDescent="0.25">
      <c r="B86" s="7">
        <v>10102030206</v>
      </c>
      <c r="C86" s="7" t="s">
        <v>23</v>
      </c>
      <c r="D86" s="9"/>
    </row>
    <row r="87" spans="2:4" x14ac:dyDescent="0.25">
      <c r="B87" s="7">
        <v>10102030207</v>
      </c>
      <c r="C87" s="7" t="s">
        <v>24</v>
      </c>
      <c r="D87" s="9"/>
    </row>
    <row r="88" spans="2:4" x14ac:dyDescent="0.25">
      <c r="B88" s="7">
        <v>10102030208</v>
      </c>
      <c r="C88" s="7" t="s">
        <v>25</v>
      </c>
      <c r="D88" s="9"/>
    </row>
    <row r="89" spans="2:4" x14ac:dyDescent="0.25">
      <c r="B89" s="7">
        <v>10102030209</v>
      </c>
      <c r="C89" s="7" t="s">
        <v>26</v>
      </c>
      <c r="D89" s="9"/>
    </row>
    <row r="90" spans="2:4" x14ac:dyDescent="0.25">
      <c r="B90" s="7">
        <v>10102030210</v>
      </c>
      <c r="C90" s="7" t="s">
        <v>27</v>
      </c>
      <c r="D90" s="9"/>
    </row>
    <row r="91" spans="2:4" x14ac:dyDescent="0.25">
      <c r="B91" s="7">
        <v>10102030211</v>
      </c>
      <c r="C91" s="7" t="s">
        <v>28</v>
      </c>
      <c r="D91" s="9"/>
    </row>
    <row r="92" spans="2:4" x14ac:dyDescent="0.25">
      <c r="B92" s="7">
        <v>10102030212</v>
      </c>
      <c r="C92" s="7" t="s">
        <v>29</v>
      </c>
      <c r="D92" s="9"/>
    </row>
    <row r="93" spans="2:4" x14ac:dyDescent="0.25">
      <c r="B93" s="7">
        <v>10102030213</v>
      </c>
      <c r="C93" s="7" t="s">
        <v>30</v>
      </c>
      <c r="D93" s="9"/>
    </row>
    <row r="94" spans="2:4" x14ac:dyDescent="0.25">
      <c r="B94" s="7">
        <v>10102030214</v>
      </c>
      <c r="C94" s="7" t="s">
        <v>31</v>
      </c>
      <c r="D94" s="9"/>
    </row>
    <row r="95" spans="2:4" x14ac:dyDescent="0.25">
      <c r="B95" s="7">
        <v>10102030215</v>
      </c>
      <c r="C95" s="7" t="s">
        <v>32</v>
      </c>
      <c r="D95" s="9"/>
    </row>
    <row r="96" spans="2:4" x14ac:dyDescent="0.25">
      <c r="B96" s="7">
        <v>10102030216</v>
      </c>
      <c r="C96" s="7" t="s">
        <v>33</v>
      </c>
      <c r="D96" s="9"/>
    </row>
    <row r="97" spans="2:4" x14ac:dyDescent="0.25">
      <c r="B97" s="7">
        <v>10102030217</v>
      </c>
      <c r="C97" s="7" t="s">
        <v>34</v>
      </c>
      <c r="D97" s="9"/>
    </row>
    <row r="98" spans="2:4" x14ac:dyDescent="0.25">
      <c r="B98" s="7">
        <v>10102030218</v>
      </c>
      <c r="C98" s="7" t="s">
        <v>35</v>
      </c>
      <c r="D98" s="9"/>
    </row>
    <row r="99" spans="2:4" x14ac:dyDescent="0.25">
      <c r="B99" s="7">
        <v>10102030219</v>
      </c>
      <c r="C99" s="7" t="s">
        <v>36</v>
      </c>
      <c r="D99" s="9"/>
    </row>
    <row r="100" spans="2:4" x14ac:dyDescent="0.25">
      <c r="B100" s="7">
        <v>10102030220</v>
      </c>
      <c r="C100" s="7" t="s">
        <v>37</v>
      </c>
      <c r="D100" s="9"/>
    </row>
    <row r="101" spans="2:4" x14ac:dyDescent="0.25">
      <c r="B101" s="7">
        <v>10102030221</v>
      </c>
      <c r="C101" s="7" t="s">
        <v>38</v>
      </c>
      <c r="D101" s="9"/>
    </row>
    <row r="102" spans="2:4" x14ac:dyDescent="0.25">
      <c r="B102" s="7">
        <v>10102030222</v>
      </c>
      <c r="C102" s="7" t="s">
        <v>15</v>
      </c>
      <c r="D102" s="9"/>
    </row>
    <row r="103" spans="2:4" x14ac:dyDescent="0.25">
      <c r="B103" s="7">
        <v>10102030223</v>
      </c>
      <c r="C103" s="7" t="s">
        <v>16</v>
      </c>
      <c r="D103" s="9"/>
    </row>
    <row r="104" spans="2:4" x14ac:dyDescent="0.25">
      <c r="B104" s="7">
        <v>1010204</v>
      </c>
      <c r="C104" s="7" t="s">
        <v>45</v>
      </c>
      <c r="D104" s="8">
        <f>SUM(D105:D107)</f>
        <v>0</v>
      </c>
    </row>
    <row r="105" spans="2:4" x14ac:dyDescent="0.25">
      <c r="B105" s="7">
        <v>101020401</v>
      </c>
      <c r="C105" s="7" t="s">
        <v>9</v>
      </c>
      <c r="D105" s="9"/>
    </row>
    <row r="106" spans="2:4" x14ac:dyDescent="0.25">
      <c r="B106" s="7">
        <v>101020402</v>
      </c>
      <c r="C106" s="7" t="s">
        <v>44</v>
      </c>
      <c r="D106" s="9"/>
    </row>
    <row r="107" spans="2:4" x14ac:dyDescent="0.25">
      <c r="B107" s="7">
        <v>101020403</v>
      </c>
      <c r="C107" s="7" t="s">
        <v>43</v>
      </c>
      <c r="D107" s="9"/>
    </row>
    <row r="108" spans="2:4" x14ac:dyDescent="0.25">
      <c r="B108" s="7">
        <v>1010205</v>
      </c>
      <c r="C108" s="7" t="s">
        <v>46</v>
      </c>
      <c r="D108" s="8">
        <f>+D109+D112</f>
        <v>3931.61</v>
      </c>
    </row>
    <row r="109" spans="2:4" x14ac:dyDescent="0.25">
      <c r="B109" s="7">
        <v>101020501</v>
      </c>
      <c r="C109" s="7" t="s">
        <v>47</v>
      </c>
      <c r="D109" s="8">
        <f>SUM(D110:D111)</f>
        <v>0</v>
      </c>
    </row>
    <row r="110" spans="2:4" x14ac:dyDescent="0.25">
      <c r="B110" s="7">
        <v>10102050101</v>
      </c>
      <c r="C110" s="7" t="s">
        <v>48</v>
      </c>
      <c r="D110" s="9"/>
    </row>
    <row r="111" spans="2:4" x14ac:dyDescent="0.25">
      <c r="B111" s="7">
        <v>10102050102</v>
      </c>
      <c r="C111" s="7" t="s">
        <v>49</v>
      </c>
      <c r="D111" s="9"/>
    </row>
    <row r="112" spans="2:4" x14ac:dyDescent="0.25">
      <c r="B112" s="7">
        <v>101020502</v>
      </c>
      <c r="C112" s="7" t="s">
        <v>50</v>
      </c>
      <c r="D112" s="8">
        <f>SUM(D113:D131)</f>
        <v>3931.61</v>
      </c>
    </row>
    <row r="113" spans="2:4" x14ac:dyDescent="0.25">
      <c r="B113" s="7">
        <v>10102050201</v>
      </c>
      <c r="C113" s="7" t="s">
        <v>48</v>
      </c>
      <c r="D113" s="8">
        <v>3931.61</v>
      </c>
    </row>
    <row r="114" spans="2:4" x14ac:dyDescent="0.25">
      <c r="B114" s="7">
        <v>10102050202</v>
      </c>
      <c r="C114" s="7" t="s">
        <v>49</v>
      </c>
      <c r="D114" s="9"/>
    </row>
    <row r="115" spans="2:4" x14ac:dyDescent="0.25">
      <c r="B115" s="7">
        <v>10102050203</v>
      </c>
      <c r="C115" s="7" t="s">
        <v>51</v>
      </c>
      <c r="D115" s="9"/>
    </row>
    <row r="116" spans="2:4" x14ac:dyDescent="0.25">
      <c r="B116" s="7">
        <v>10102050204</v>
      </c>
      <c r="C116" s="7" t="s">
        <v>52</v>
      </c>
      <c r="D116" s="9"/>
    </row>
    <row r="117" spans="2:4" x14ac:dyDescent="0.25">
      <c r="B117" s="7">
        <v>10102050207</v>
      </c>
      <c r="C117" s="7" t="s">
        <v>53</v>
      </c>
      <c r="D117" s="9"/>
    </row>
    <row r="118" spans="2:4" x14ac:dyDescent="0.25">
      <c r="B118" s="7">
        <v>10102050208</v>
      </c>
      <c r="C118" s="7" t="s">
        <v>54</v>
      </c>
      <c r="D118" s="9"/>
    </row>
    <row r="119" spans="2:4" x14ac:dyDescent="0.25">
      <c r="B119" s="7">
        <v>10102050209</v>
      </c>
      <c r="C119" s="7" t="s">
        <v>55</v>
      </c>
      <c r="D119" s="9"/>
    </row>
    <row r="120" spans="2:4" x14ac:dyDescent="0.25">
      <c r="B120" s="7">
        <v>10102050210</v>
      </c>
      <c r="C120" s="7" t="s">
        <v>56</v>
      </c>
      <c r="D120" s="9"/>
    </row>
    <row r="121" spans="2:4" x14ac:dyDescent="0.25">
      <c r="B121" s="7">
        <v>10102050211</v>
      </c>
      <c r="C121" s="7" t="s">
        <v>57</v>
      </c>
      <c r="D121" s="9"/>
    </row>
    <row r="122" spans="2:4" x14ac:dyDescent="0.25">
      <c r="B122" s="7">
        <v>10102050212</v>
      </c>
      <c r="C122" s="7" t="s">
        <v>58</v>
      </c>
      <c r="D122" s="9"/>
    </row>
    <row r="123" spans="2:4" x14ac:dyDescent="0.25">
      <c r="B123" s="7">
        <v>10102050213</v>
      </c>
      <c r="C123" s="7" t="s">
        <v>59</v>
      </c>
      <c r="D123" s="9"/>
    </row>
    <row r="124" spans="2:4" x14ac:dyDescent="0.25">
      <c r="B124" s="7">
        <v>10102050214</v>
      </c>
      <c r="C124" s="7" t="s">
        <v>60</v>
      </c>
      <c r="D124" s="9"/>
    </row>
    <row r="125" spans="2:4" x14ac:dyDescent="0.25">
      <c r="B125" s="7">
        <v>10102050215</v>
      </c>
      <c r="C125" s="7" t="s">
        <v>61</v>
      </c>
      <c r="D125" s="9"/>
    </row>
    <row r="126" spans="2:4" x14ac:dyDescent="0.25">
      <c r="B126" s="7">
        <v>10102050216</v>
      </c>
      <c r="C126" s="7" t="s">
        <v>62</v>
      </c>
      <c r="D126" s="9"/>
    </row>
    <row r="127" spans="2:4" x14ac:dyDescent="0.25">
      <c r="B127" s="7">
        <v>10102050217</v>
      </c>
      <c r="C127" s="7" t="s">
        <v>63</v>
      </c>
      <c r="D127" s="9"/>
    </row>
    <row r="128" spans="2:4" x14ac:dyDescent="0.25">
      <c r="B128" s="7">
        <v>10102050218</v>
      </c>
      <c r="C128" s="7" t="s">
        <v>64</v>
      </c>
      <c r="D128" s="9"/>
    </row>
    <row r="129" spans="2:4" x14ac:dyDescent="0.25">
      <c r="B129" s="7">
        <v>10102050219</v>
      </c>
      <c r="C129" s="7" t="s">
        <v>65</v>
      </c>
      <c r="D129" s="9"/>
    </row>
    <row r="130" spans="2:4" x14ac:dyDescent="0.25">
      <c r="B130" s="7">
        <v>10102050220</v>
      </c>
      <c r="C130" s="7" t="s">
        <v>66</v>
      </c>
      <c r="D130" s="9"/>
    </row>
    <row r="131" spans="2:4" x14ac:dyDescent="0.25">
      <c r="B131" s="7">
        <v>10102050221</v>
      </c>
      <c r="C131" s="7" t="s">
        <v>67</v>
      </c>
      <c r="D131" s="9"/>
    </row>
    <row r="132" spans="2:4" x14ac:dyDescent="0.25">
      <c r="B132" s="7">
        <v>1010206</v>
      </c>
      <c r="C132" s="7" t="s">
        <v>68</v>
      </c>
      <c r="D132" s="8">
        <f>SUM(D133:D136)</f>
        <v>0</v>
      </c>
    </row>
    <row r="133" spans="2:4" x14ac:dyDescent="0.25">
      <c r="B133" s="7">
        <v>101020601</v>
      </c>
      <c r="C133" s="7" t="s">
        <v>69</v>
      </c>
      <c r="D133" s="9"/>
    </row>
    <row r="134" spans="2:4" x14ac:dyDescent="0.25">
      <c r="B134" s="7">
        <v>101020602</v>
      </c>
      <c r="C134" s="7" t="s">
        <v>70</v>
      </c>
      <c r="D134" s="9"/>
    </row>
    <row r="135" spans="2:4" x14ac:dyDescent="0.25">
      <c r="B135" s="7">
        <v>101020603</v>
      </c>
      <c r="C135" s="7" t="s">
        <v>71</v>
      </c>
      <c r="D135" s="9"/>
    </row>
    <row r="136" spans="2:4" x14ac:dyDescent="0.25">
      <c r="B136" s="7">
        <v>101020604</v>
      </c>
      <c r="C136" s="7" t="s">
        <v>72</v>
      </c>
      <c r="D136" s="9"/>
    </row>
    <row r="137" spans="2:4" x14ac:dyDescent="0.25">
      <c r="B137" s="7">
        <v>1010207</v>
      </c>
      <c r="C137" s="7" t="s">
        <v>73</v>
      </c>
      <c r="D137" s="9"/>
    </row>
    <row r="138" spans="2:4" x14ac:dyDescent="0.25">
      <c r="B138" s="7">
        <v>10103</v>
      </c>
      <c r="C138" s="7" t="s">
        <v>74</v>
      </c>
      <c r="D138" s="8">
        <f>SUM(D139:D151)</f>
        <v>0</v>
      </c>
    </row>
    <row r="139" spans="2:4" x14ac:dyDescent="0.25">
      <c r="B139" s="7">
        <v>1010301</v>
      </c>
      <c r="C139" s="7" t="s">
        <v>75</v>
      </c>
      <c r="D139" s="9"/>
    </row>
    <row r="140" spans="2:4" x14ac:dyDescent="0.25">
      <c r="B140" s="7">
        <v>1010302</v>
      </c>
      <c r="C140" s="7" t="s">
        <v>76</v>
      </c>
      <c r="D140" s="9"/>
    </row>
    <row r="141" spans="2:4" x14ac:dyDescent="0.25">
      <c r="B141" s="7">
        <v>1010303</v>
      </c>
      <c r="C141" s="7" t="s">
        <v>77</v>
      </c>
      <c r="D141" s="9"/>
    </row>
    <row r="142" spans="2:4" x14ac:dyDescent="0.25">
      <c r="B142" s="7">
        <v>1010304</v>
      </c>
      <c r="C142" s="7" t="s">
        <v>78</v>
      </c>
      <c r="D142" s="9"/>
    </row>
    <row r="143" spans="2:4" x14ac:dyDescent="0.25">
      <c r="B143" s="7">
        <v>1010305</v>
      </c>
      <c r="C143" s="7" t="s">
        <v>79</v>
      </c>
      <c r="D143" s="9"/>
    </row>
    <row r="144" spans="2:4" x14ac:dyDescent="0.25">
      <c r="B144" s="7">
        <v>1010306</v>
      </c>
      <c r="C144" s="7" t="s">
        <v>80</v>
      </c>
      <c r="D144" s="9"/>
    </row>
    <row r="145" spans="2:4" x14ac:dyDescent="0.25">
      <c r="B145" s="7">
        <v>1010307</v>
      </c>
      <c r="C145" s="7" t="s">
        <v>81</v>
      </c>
      <c r="D145" s="9"/>
    </row>
    <row r="146" spans="2:4" x14ac:dyDescent="0.25">
      <c r="B146" s="7">
        <v>1010308</v>
      </c>
      <c r="C146" s="7" t="s">
        <v>82</v>
      </c>
      <c r="D146" s="9"/>
    </row>
    <row r="147" spans="2:4" x14ac:dyDescent="0.25">
      <c r="B147" s="7">
        <v>1010309</v>
      </c>
      <c r="C147" s="7" t="s">
        <v>83</v>
      </c>
      <c r="D147" s="9"/>
    </row>
    <row r="148" spans="2:4" x14ac:dyDescent="0.25">
      <c r="B148" s="7">
        <v>1010310</v>
      </c>
      <c r="C148" s="7" t="s">
        <v>84</v>
      </c>
      <c r="D148" s="9"/>
    </row>
    <row r="149" spans="2:4" x14ac:dyDescent="0.25">
      <c r="B149" s="7">
        <v>1010311</v>
      </c>
      <c r="C149" s="7" t="s">
        <v>85</v>
      </c>
      <c r="D149" s="9"/>
    </row>
    <row r="150" spans="2:4" x14ac:dyDescent="0.25">
      <c r="B150" s="7">
        <v>1010312</v>
      </c>
      <c r="C150" s="7" t="s">
        <v>86</v>
      </c>
      <c r="D150" s="9"/>
    </row>
    <row r="151" spans="2:4" x14ac:dyDescent="0.25">
      <c r="B151" s="7">
        <v>1010313</v>
      </c>
      <c r="C151" s="7" t="s">
        <v>87</v>
      </c>
      <c r="D151" s="9"/>
    </row>
    <row r="152" spans="2:4" x14ac:dyDescent="0.25">
      <c r="B152" s="7">
        <v>10104</v>
      </c>
      <c r="C152" s="7" t="s">
        <v>88</v>
      </c>
      <c r="D152" s="8">
        <f>SUM(D153:D156)</f>
        <v>0</v>
      </c>
    </row>
    <row r="153" spans="2:4" x14ac:dyDescent="0.25">
      <c r="B153" s="7">
        <v>1010401</v>
      </c>
      <c r="C153" s="7" t="s">
        <v>89</v>
      </c>
      <c r="D153" s="9"/>
    </row>
    <row r="154" spans="2:4" x14ac:dyDescent="0.25">
      <c r="B154" s="7">
        <v>1010402</v>
      </c>
      <c r="C154" s="7" t="s">
        <v>90</v>
      </c>
      <c r="D154" s="9"/>
    </row>
    <row r="155" spans="2:4" x14ac:dyDescent="0.25">
      <c r="B155" s="7">
        <v>1010403</v>
      </c>
      <c r="C155" s="7" t="s">
        <v>91</v>
      </c>
      <c r="D155" s="9"/>
    </row>
    <row r="156" spans="2:4" x14ac:dyDescent="0.25">
      <c r="B156" s="7">
        <v>1010404</v>
      </c>
      <c r="C156" s="7" t="s">
        <v>92</v>
      </c>
      <c r="D156" s="9"/>
    </row>
    <row r="157" spans="2:4" x14ac:dyDescent="0.25">
      <c r="B157" s="7">
        <v>10105</v>
      </c>
      <c r="C157" s="7" t="s">
        <v>93</v>
      </c>
      <c r="D157" s="8">
        <f>SUM(D158:D160)</f>
        <v>0</v>
      </c>
    </row>
    <row r="158" spans="2:4" x14ac:dyDescent="0.25">
      <c r="B158" s="7">
        <v>1010501</v>
      </c>
      <c r="C158" s="7" t="s">
        <v>94</v>
      </c>
      <c r="D158" s="9"/>
    </row>
    <row r="159" spans="2:4" x14ac:dyDescent="0.25">
      <c r="B159" s="7">
        <v>1010502</v>
      </c>
      <c r="C159" s="7" t="s">
        <v>95</v>
      </c>
      <c r="D159" s="9"/>
    </row>
    <row r="160" spans="2:4" x14ac:dyDescent="0.25">
      <c r="B160" s="7">
        <v>1010503</v>
      </c>
      <c r="C160" s="7" t="s">
        <v>96</v>
      </c>
      <c r="D160" s="9"/>
    </row>
    <row r="161" spans="2:4" x14ac:dyDescent="0.25">
      <c r="B161" s="7">
        <v>10106</v>
      </c>
      <c r="C161" s="7" t="s">
        <v>97</v>
      </c>
      <c r="D161" s="9"/>
    </row>
    <row r="162" spans="2:4" x14ac:dyDescent="0.25">
      <c r="B162" s="7">
        <v>10107</v>
      </c>
      <c r="C162" s="7" t="s">
        <v>98</v>
      </c>
      <c r="D162" s="9"/>
    </row>
    <row r="163" spans="2:4" x14ac:dyDescent="0.25">
      <c r="B163" s="7">
        <v>10108</v>
      </c>
      <c r="C163" s="7" t="s">
        <v>99</v>
      </c>
      <c r="D163" s="9"/>
    </row>
    <row r="164" spans="2:4" x14ac:dyDescent="0.25">
      <c r="B164" s="7">
        <v>102</v>
      </c>
      <c r="C164" s="7" t="s">
        <v>100</v>
      </c>
      <c r="D164" s="8">
        <f>+D165+D183+D192+D199+D207+D208+D215+D219+D230+D234</f>
        <v>0</v>
      </c>
    </row>
    <row r="165" spans="2:4" x14ac:dyDescent="0.25">
      <c r="B165" s="7">
        <v>10201</v>
      </c>
      <c r="C165" s="7" t="s">
        <v>101</v>
      </c>
      <c r="D165" s="8">
        <f>SUM(D166:D179)</f>
        <v>0</v>
      </c>
    </row>
    <row r="166" spans="2:4" x14ac:dyDescent="0.25">
      <c r="B166" s="7">
        <v>1020101</v>
      </c>
      <c r="C166" s="7" t="s">
        <v>102</v>
      </c>
      <c r="D166" s="9"/>
    </row>
    <row r="167" spans="2:4" x14ac:dyDescent="0.25">
      <c r="B167" s="7">
        <v>1020102</v>
      </c>
      <c r="C167" s="7" t="s">
        <v>103</v>
      </c>
      <c r="D167" s="9"/>
    </row>
    <row r="168" spans="2:4" x14ac:dyDescent="0.25">
      <c r="B168" s="7">
        <v>1020103</v>
      </c>
      <c r="C168" s="7" t="s">
        <v>104</v>
      </c>
      <c r="D168" s="9"/>
    </row>
    <row r="169" spans="2:4" x14ac:dyDescent="0.25">
      <c r="B169" s="7">
        <v>1020104</v>
      </c>
      <c r="C169" s="7" t="s">
        <v>105</v>
      </c>
      <c r="D169" s="9"/>
    </row>
    <row r="170" spans="2:4" x14ac:dyDescent="0.25">
      <c r="B170" s="7">
        <v>1020105</v>
      </c>
      <c r="C170" s="7" t="s">
        <v>106</v>
      </c>
      <c r="D170" s="9"/>
    </row>
    <row r="171" spans="2:4" x14ac:dyDescent="0.25">
      <c r="B171" s="7">
        <v>1020106</v>
      </c>
      <c r="C171" s="7" t="s">
        <v>107</v>
      </c>
      <c r="D171" s="9"/>
    </row>
    <row r="172" spans="2:4" x14ac:dyDescent="0.25">
      <c r="B172" s="7">
        <v>1020107</v>
      </c>
      <c r="C172" s="7" t="s">
        <v>108</v>
      </c>
      <c r="D172" s="9"/>
    </row>
    <row r="173" spans="2:4" x14ac:dyDescent="0.25">
      <c r="B173" s="7">
        <v>1020108</v>
      </c>
      <c r="C173" s="7" t="s">
        <v>109</v>
      </c>
      <c r="D173" s="9"/>
    </row>
    <row r="174" spans="2:4" x14ac:dyDescent="0.25">
      <c r="B174" s="7">
        <v>1020109</v>
      </c>
      <c r="C174" s="7" t="s">
        <v>110</v>
      </c>
      <c r="D174" s="9"/>
    </row>
    <row r="175" spans="2:4" x14ac:dyDescent="0.25">
      <c r="B175" s="7">
        <v>1020110</v>
      </c>
      <c r="C175" s="7" t="s">
        <v>111</v>
      </c>
      <c r="D175" s="9"/>
    </row>
    <row r="176" spans="2:4" x14ac:dyDescent="0.25">
      <c r="B176" s="7">
        <v>1020111</v>
      </c>
      <c r="C176" s="7" t="s">
        <v>112</v>
      </c>
      <c r="D176" s="9"/>
    </row>
    <row r="177" spans="2:4" x14ac:dyDescent="0.25">
      <c r="B177" s="7">
        <v>1020112</v>
      </c>
      <c r="C177" s="7" t="s">
        <v>113</v>
      </c>
      <c r="D177" s="9"/>
    </row>
    <row r="178" spans="2:4" x14ac:dyDescent="0.25">
      <c r="B178" s="7">
        <v>1020113</v>
      </c>
      <c r="C178" s="7" t="s">
        <v>114</v>
      </c>
      <c r="D178" s="9"/>
    </row>
    <row r="179" spans="2:4" x14ac:dyDescent="0.25">
      <c r="B179" s="7">
        <v>1020114</v>
      </c>
      <c r="C179" s="7" t="s">
        <v>115</v>
      </c>
      <c r="D179" s="8">
        <f>SUM(D180:D182)</f>
        <v>0</v>
      </c>
    </row>
    <row r="180" spans="2:4" x14ac:dyDescent="0.25">
      <c r="B180" s="7">
        <v>102011401</v>
      </c>
      <c r="C180" s="7" t="s">
        <v>115</v>
      </c>
      <c r="D180" s="8"/>
    </row>
    <row r="181" spans="2:4" x14ac:dyDescent="0.25">
      <c r="B181" s="7">
        <v>102011402</v>
      </c>
      <c r="C181" s="7" t="s">
        <v>116</v>
      </c>
      <c r="D181" s="9"/>
    </row>
    <row r="182" spans="2:4" x14ac:dyDescent="0.25">
      <c r="B182" s="7">
        <v>102011403</v>
      </c>
      <c r="C182" s="7" t="s">
        <v>117</v>
      </c>
      <c r="D182" s="9"/>
    </row>
    <row r="183" spans="2:4" x14ac:dyDescent="0.25">
      <c r="B183" s="7">
        <v>10202</v>
      </c>
      <c r="C183" s="7" t="s">
        <v>118</v>
      </c>
      <c r="D183" s="8">
        <f>+D184+D187+D190+D191</f>
        <v>0</v>
      </c>
    </row>
    <row r="184" spans="2:4" x14ac:dyDescent="0.25">
      <c r="B184" s="7">
        <v>1020201</v>
      </c>
      <c r="C184" s="7" t="s">
        <v>102</v>
      </c>
      <c r="D184" s="8">
        <f>+D185+D186</f>
        <v>0</v>
      </c>
    </row>
    <row r="185" spans="2:4" x14ac:dyDescent="0.25">
      <c r="B185" s="7">
        <v>102020101</v>
      </c>
      <c r="C185" s="7" t="s">
        <v>102</v>
      </c>
      <c r="D185" s="9"/>
    </row>
    <row r="186" spans="2:4" x14ac:dyDescent="0.25">
      <c r="B186" s="7">
        <v>102020102</v>
      </c>
      <c r="C186" s="7" t="s">
        <v>119</v>
      </c>
      <c r="D186" s="9"/>
    </row>
    <row r="187" spans="2:4" x14ac:dyDescent="0.25">
      <c r="B187" s="7">
        <v>1020202</v>
      </c>
      <c r="C187" s="7" t="s">
        <v>103</v>
      </c>
      <c r="D187" s="8">
        <f>+D188+D189</f>
        <v>0</v>
      </c>
    </row>
    <row r="188" spans="2:4" x14ac:dyDescent="0.25">
      <c r="B188" s="7">
        <v>102020201</v>
      </c>
      <c r="C188" s="7" t="s">
        <v>103</v>
      </c>
      <c r="D188" s="9"/>
    </row>
    <row r="189" spans="2:4" x14ac:dyDescent="0.25">
      <c r="B189" s="7">
        <v>102020202</v>
      </c>
      <c r="C189" s="7" t="s">
        <v>120</v>
      </c>
      <c r="D189" s="9"/>
    </row>
    <row r="190" spans="2:4" x14ac:dyDescent="0.25">
      <c r="B190" s="7">
        <v>1020203</v>
      </c>
      <c r="C190" s="7" t="s">
        <v>121</v>
      </c>
      <c r="D190" s="9"/>
    </row>
    <row r="191" spans="2:4" x14ac:dyDescent="0.25">
      <c r="B191" s="7">
        <v>1020204</v>
      </c>
      <c r="C191" s="7" t="s">
        <v>122</v>
      </c>
      <c r="D191" s="9"/>
    </row>
    <row r="192" spans="2:4" x14ac:dyDescent="0.25">
      <c r="B192" s="7">
        <v>10203</v>
      </c>
      <c r="C192" s="7" t="s">
        <v>123</v>
      </c>
      <c r="D192" s="8">
        <f>SUM(D193:D198)</f>
        <v>0</v>
      </c>
    </row>
    <row r="193" spans="2:4" x14ac:dyDescent="0.25">
      <c r="B193" s="7">
        <v>1020301</v>
      </c>
      <c r="C193" s="7" t="s">
        <v>124</v>
      </c>
      <c r="D193" s="9"/>
    </row>
    <row r="194" spans="2:4" x14ac:dyDescent="0.25">
      <c r="B194" s="7">
        <v>1020302</v>
      </c>
      <c r="C194" s="7" t="s">
        <v>125</v>
      </c>
      <c r="D194" s="9"/>
    </row>
    <row r="195" spans="2:4" x14ac:dyDescent="0.25">
      <c r="B195" s="7">
        <v>1020303</v>
      </c>
      <c r="C195" s="7" t="s">
        <v>126</v>
      </c>
      <c r="D195" s="9"/>
    </row>
    <row r="196" spans="2:4" x14ac:dyDescent="0.25">
      <c r="B196" s="7">
        <v>1020304</v>
      </c>
      <c r="C196" s="7" t="s">
        <v>127</v>
      </c>
      <c r="D196" s="9"/>
    </row>
    <row r="197" spans="2:4" x14ac:dyDescent="0.25">
      <c r="B197" s="7">
        <v>1020305</v>
      </c>
      <c r="C197" s="7" t="s">
        <v>128</v>
      </c>
      <c r="D197" s="9"/>
    </row>
    <row r="198" spans="2:4" x14ac:dyDescent="0.25">
      <c r="B198" s="7">
        <v>1020306</v>
      </c>
      <c r="C198" s="7" t="s">
        <v>129</v>
      </c>
      <c r="D198" s="9"/>
    </row>
    <row r="199" spans="2:4" x14ac:dyDescent="0.25">
      <c r="B199" s="7">
        <v>10204</v>
      </c>
      <c r="C199" s="7" t="s">
        <v>130</v>
      </c>
      <c r="D199" s="8">
        <f>SUM(D200:D206)</f>
        <v>0</v>
      </c>
    </row>
    <row r="200" spans="2:4" x14ac:dyDescent="0.25">
      <c r="B200" s="7">
        <v>1020401</v>
      </c>
      <c r="C200" s="7" t="s">
        <v>131</v>
      </c>
      <c r="D200" s="9"/>
    </row>
    <row r="201" spans="2:4" x14ac:dyDescent="0.25">
      <c r="B201" s="7">
        <v>1020402</v>
      </c>
      <c r="C201" s="7" t="s">
        <v>132</v>
      </c>
      <c r="D201" s="9"/>
    </row>
    <row r="202" spans="2:4" x14ac:dyDescent="0.25">
      <c r="B202" s="7">
        <v>1020403</v>
      </c>
      <c r="C202" s="7" t="s">
        <v>133</v>
      </c>
      <c r="D202" s="9"/>
    </row>
    <row r="203" spans="2:4" x14ac:dyDescent="0.25">
      <c r="B203" s="7">
        <v>1020404</v>
      </c>
      <c r="C203" s="7" t="s">
        <v>115</v>
      </c>
      <c r="D203" s="9"/>
    </row>
    <row r="204" spans="2:4" x14ac:dyDescent="0.25">
      <c r="B204" s="7">
        <v>1020405</v>
      </c>
      <c r="C204" s="7" t="s">
        <v>134</v>
      </c>
      <c r="D204" s="9"/>
    </row>
    <row r="205" spans="2:4" x14ac:dyDescent="0.25">
      <c r="B205" s="7">
        <v>1020406</v>
      </c>
      <c r="C205" s="7" t="s">
        <v>135</v>
      </c>
      <c r="D205" s="9"/>
    </row>
    <row r="206" spans="2:4" x14ac:dyDescent="0.25">
      <c r="B206" s="7">
        <v>1020407</v>
      </c>
      <c r="C206" s="7" t="s">
        <v>136</v>
      </c>
      <c r="D206" s="9"/>
    </row>
    <row r="207" spans="2:4" x14ac:dyDescent="0.25">
      <c r="B207" s="7">
        <v>10205</v>
      </c>
      <c r="C207" s="7" t="s">
        <v>137</v>
      </c>
      <c r="D207" s="9"/>
    </row>
    <row r="208" spans="2:4" x14ac:dyDescent="0.25">
      <c r="B208" s="7">
        <v>10206</v>
      </c>
      <c r="C208" s="7" t="s">
        <v>138</v>
      </c>
      <c r="D208" s="8">
        <f>SUM(D209:D214)</f>
        <v>0</v>
      </c>
    </row>
    <row r="209" spans="2:4" x14ac:dyDescent="0.25">
      <c r="B209" s="7">
        <v>1020601</v>
      </c>
      <c r="C209" s="7" t="s">
        <v>43</v>
      </c>
      <c r="D209" s="9"/>
    </row>
    <row r="210" spans="2:4" x14ac:dyDescent="0.25">
      <c r="B210" s="7">
        <v>1020602</v>
      </c>
      <c r="C210" s="7" t="s">
        <v>139</v>
      </c>
      <c r="D210" s="9"/>
    </row>
    <row r="211" spans="2:4" x14ac:dyDescent="0.25">
      <c r="B211" s="7">
        <v>1020603</v>
      </c>
      <c r="C211" s="7" t="s">
        <v>140</v>
      </c>
      <c r="D211" s="9"/>
    </row>
    <row r="212" spans="2:4" x14ac:dyDescent="0.25">
      <c r="B212" s="7">
        <v>1020604</v>
      </c>
      <c r="C212" s="7" t="s">
        <v>141</v>
      </c>
      <c r="D212" s="9"/>
    </row>
    <row r="213" spans="2:4" x14ac:dyDescent="0.25">
      <c r="B213" s="7">
        <v>1020605</v>
      </c>
      <c r="C213" s="7" t="s">
        <v>9</v>
      </c>
      <c r="D213" s="9"/>
    </row>
    <row r="214" spans="2:4" x14ac:dyDescent="0.25">
      <c r="B214" s="7">
        <v>1020606</v>
      </c>
      <c r="C214" s="7" t="s">
        <v>142</v>
      </c>
      <c r="D214" s="9"/>
    </row>
    <row r="215" spans="2:4" x14ac:dyDescent="0.25">
      <c r="B215" s="7">
        <v>10207</v>
      </c>
      <c r="C215" s="7" t="s">
        <v>143</v>
      </c>
      <c r="D215" s="8">
        <f>SUM(D216:D218)</f>
        <v>0</v>
      </c>
    </row>
    <row r="216" spans="2:4" x14ac:dyDescent="0.25">
      <c r="B216" s="7">
        <v>1020701</v>
      </c>
      <c r="C216" s="7" t="s">
        <v>144</v>
      </c>
      <c r="D216" s="8"/>
    </row>
    <row r="217" spans="2:4" x14ac:dyDescent="0.25">
      <c r="B217" s="7">
        <v>1020702</v>
      </c>
      <c r="C217" s="7" t="s">
        <v>145</v>
      </c>
      <c r="D217" s="9"/>
    </row>
    <row r="218" spans="2:4" x14ac:dyDescent="0.25">
      <c r="B218" s="7">
        <v>1020703</v>
      </c>
      <c r="C218" s="7" t="s">
        <v>143</v>
      </c>
      <c r="D218" s="9"/>
    </row>
    <row r="219" spans="2:4" x14ac:dyDescent="0.25">
      <c r="B219" s="7">
        <v>10208</v>
      </c>
      <c r="C219" s="7" t="s">
        <v>146</v>
      </c>
      <c r="D219" s="8">
        <f>SUM(D220:D229)</f>
        <v>0</v>
      </c>
    </row>
    <row r="220" spans="2:4" x14ac:dyDescent="0.25">
      <c r="B220" s="7">
        <v>1020801</v>
      </c>
      <c r="C220" s="7" t="s">
        <v>147</v>
      </c>
      <c r="D220" s="9"/>
    </row>
    <row r="221" spans="2:4" x14ac:dyDescent="0.25">
      <c r="B221" s="7">
        <v>1020802</v>
      </c>
      <c r="C221" s="7" t="s">
        <v>148</v>
      </c>
      <c r="D221" s="9"/>
    </row>
    <row r="222" spans="2:4" x14ac:dyDescent="0.25">
      <c r="B222" s="7">
        <v>1020803</v>
      </c>
      <c r="C222" s="7" t="s">
        <v>149</v>
      </c>
      <c r="D222" s="9"/>
    </row>
    <row r="223" spans="2:4" x14ac:dyDescent="0.25">
      <c r="B223" s="7">
        <v>1020805</v>
      </c>
      <c r="C223" s="7" t="s">
        <v>150</v>
      </c>
      <c r="D223" s="9"/>
    </row>
    <row r="224" spans="2:4" x14ac:dyDescent="0.25">
      <c r="B224" s="7">
        <v>1020806</v>
      </c>
      <c r="C224" s="7" t="s">
        <v>151</v>
      </c>
      <c r="D224" s="9"/>
    </row>
    <row r="225" spans="2:4" x14ac:dyDescent="0.25">
      <c r="B225" s="7">
        <v>1020807</v>
      </c>
      <c r="C225" s="7" t="s">
        <v>152</v>
      </c>
      <c r="D225" s="9"/>
    </row>
    <row r="226" spans="2:4" x14ac:dyDescent="0.25">
      <c r="B226" s="7">
        <v>1020808</v>
      </c>
      <c r="C226" s="7" t="s">
        <v>153</v>
      </c>
      <c r="D226" s="9"/>
    </row>
    <row r="227" spans="2:4" x14ac:dyDescent="0.25">
      <c r="B227" s="7">
        <v>1020809</v>
      </c>
      <c r="C227" s="7" t="s">
        <v>154</v>
      </c>
      <c r="D227" s="9"/>
    </row>
    <row r="228" spans="2:4" x14ac:dyDescent="0.25">
      <c r="B228" s="7">
        <v>1020810</v>
      </c>
      <c r="C228" s="7" t="s">
        <v>155</v>
      </c>
      <c r="D228" s="9"/>
    </row>
    <row r="229" spans="2:4" x14ac:dyDescent="0.25">
      <c r="B229" s="7">
        <v>1020811</v>
      </c>
      <c r="C229" s="7" t="s">
        <v>146</v>
      </c>
      <c r="D229" s="9"/>
    </row>
    <row r="230" spans="2:4" x14ac:dyDescent="0.25">
      <c r="B230" s="7">
        <v>10209</v>
      </c>
      <c r="C230" s="7" t="s">
        <v>156</v>
      </c>
      <c r="D230" s="8">
        <f>SUM(D231:D233)</f>
        <v>0</v>
      </c>
    </row>
    <row r="231" spans="2:4" x14ac:dyDescent="0.25">
      <c r="B231" s="7">
        <v>1020901</v>
      </c>
      <c r="C231" s="7" t="s">
        <v>48</v>
      </c>
      <c r="D231" s="9"/>
    </row>
    <row r="232" spans="2:4" x14ac:dyDescent="0.25">
      <c r="B232" s="7">
        <v>1020902</v>
      </c>
      <c r="C232" s="7" t="s">
        <v>49</v>
      </c>
      <c r="D232" s="9"/>
    </row>
    <row r="233" spans="2:4" x14ac:dyDescent="0.25">
      <c r="B233" s="7">
        <v>1020903</v>
      </c>
      <c r="C233" s="7" t="s">
        <v>67</v>
      </c>
      <c r="D233" s="9"/>
    </row>
    <row r="234" spans="2:4" x14ac:dyDescent="0.25">
      <c r="B234" s="7">
        <v>10210</v>
      </c>
      <c r="C234" s="7" t="s">
        <v>68</v>
      </c>
      <c r="D234" s="8">
        <f>SUM(D235:D238)</f>
        <v>0</v>
      </c>
    </row>
    <row r="235" spans="2:4" x14ac:dyDescent="0.25">
      <c r="B235" s="7">
        <v>1021001</v>
      </c>
      <c r="C235" s="7" t="s">
        <v>69</v>
      </c>
      <c r="D235" s="9"/>
    </row>
    <row r="236" spans="2:4" x14ac:dyDescent="0.25">
      <c r="B236" s="7">
        <v>1021002</v>
      </c>
      <c r="C236" s="7" t="s">
        <v>70</v>
      </c>
      <c r="D236" s="9"/>
    </row>
    <row r="237" spans="2:4" x14ac:dyDescent="0.25">
      <c r="B237" s="7">
        <v>1021003</v>
      </c>
      <c r="C237" s="7" t="s">
        <v>71</v>
      </c>
      <c r="D237" s="9"/>
    </row>
    <row r="238" spans="2:4" x14ac:dyDescent="0.25">
      <c r="B238" s="7">
        <v>1021004</v>
      </c>
      <c r="C238" s="7" t="s">
        <v>72</v>
      </c>
      <c r="D238" s="9"/>
    </row>
    <row r="239" spans="2:4" x14ac:dyDescent="0.25">
      <c r="B239" s="7">
        <v>2</v>
      </c>
      <c r="C239" s="7" t="s">
        <v>157</v>
      </c>
      <c r="D239" s="8">
        <f>+D240+D305</f>
        <v>0</v>
      </c>
    </row>
    <row r="240" spans="2:4" x14ac:dyDescent="0.25">
      <c r="B240" s="7">
        <v>201</v>
      </c>
      <c r="C240" s="7" t="s">
        <v>158</v>
      </c>
      <c r="D240" s="8">
        <f>+D241+D242+D243+D252+D255+D258+D264+D272+D283+D284+D287+D288+D291+D304</f>
        <v>0</v>
      </c>
    </row>
    <row r="241" spans="2:4" x14ac:dyDescent="0.25">
      <c r="B241" s="7">
        <v>20101</v>
      </c>
      <c r="C241" s="7" t="s">
        <v>159</v>
      </c>
      <c r="D241" s="9"/>
    </row>
    <row r="242" spans="2:4" x14ac:dyDescent="0.25">
      <c r="B242" s="7">
        <v>20102</v>
      </c>
      <c r="C242" s="7" t="s">
        <v>160</v>
      </c>
      <c r="D242" s="9"/>
    </row>
    <row r="243" spans="2:4" x14ac:dyDescent="0.25">
      <c r="B243" s="7">
        <v>20103</v>
      </c>
      <c r="C243" s="7" t="s">
        <v>161</v>
      </c>
      <c r="D243" s="8">
        <f>+D244+D248</f>
        <v>0</v>
      </c>
    </row>
    <row r="244" spans="2:4" x14ac:dyDescent="0.25">
      <c r="B244" s="7">
        <v>2010301</v>
      </c>
      <c r="C244" s="7" t="s">
        <v>162</v>
      </c>
      <c r="D244" s="8">
        <f>SUM(D245:D247)</f>
        <v>0</v>
      </c>
    </row>
    <row r="245" spans="2:4" x14ac:dyDescent="0.25">
      <c r="B245" s="7">
        <v>201030101</v>
      </c>
      <c r="C245" s="7" t="s">
        <v>163</v>
      </c>
      <c r="D245" s="9"/>
    </row>
    <row r="246" spans="2:4" x14ac:dyDescent="0.25">
      <c r="B246" s="7">
        <v>201030102</v>
      </c>
      <c r="C246" s="7" t="s">
        <v>164</v>
      </c>
      <c r="D246" s="9"/>
    </row>
    <row r="247" spans="2:4" x14ac:dyDescent="0.25">
      <c r="B247" s="7">
        <v>201030103</v>
      </c>
      <c r="C247" s="7" t="s">
        <v>165</v>
      </c>
      <c r="D247" s="9"/>
    </row>
    <row r="248" spans="2:4" x14ac:dyDescent="0.25">
      <c r="B248" s="7">
        <v>2010302</v>
      </c>
      <c r="C248" s="7" t="s">
        <v>166</v>
      </c>
      <c r="D248" s="8">
        <f>SUM(D249:D251)</f>
        <v>0</v>
      </c>
    </row>
    <row r="249" spans="2:4" x14ac:dyDescent="0.25">
      <c r="B249" s="7">
        <v>201030201</v>
      </c>
      <c r="C249" s="7" t="s">
        <v>163</v>
      </c>
      <c r="D249" s="9"/>
    </row>
    <row r="250" spans="2:4" x14ac:dyDescent="0.25">
      <c r="B250" s="7">
        <v>201030202</v>
      </c>
      <c r="C250" s="7" t="s">
        <v>164</v>
      </c>
      <c r="D250" s="9"/>
    </row>
    <row r="251" spans="2:4" x14ac:dyDescent="0.25">
      <c r="B251" s="7">
        <v>201030203</v>
      </c>
      <c r="C251" s="7" t="s">
        <v>165</v>
      </c>
      <c r="D251" s="9"/>
    </row>
    <row r="252" spans="2:4" x14ac:dyDescent="0.25">
      <c r="B252" s="7">
        <v>20104</v>
      </c>
      <c r="C252" s="7" t="s">
        <v>167</v>
      </c>
      <c r="D252" s="8">
        <f>SUM(D253:D254)</f>
        <v>0</v>
      </c>
    </row>
    <row r="253" spans="2:4" x14ac:dyDescent="0.25">
      <c r="B253" s="7">
        <v>2010401</v>
      </c>
      <c r="C253" s="7" t="s">
        <v>162</v>
      </c>
      <c r="D253" s="9"/>
    </row>
    <row r="254" spans="2:4" x14ac:dyDescent="0.25">
      <c r="B254" s="7">
        <v>2010402</v>
      </c>
      <c r="C254" s="7" t="s">
        <v>166</v>
      </c>
      <c r="D254" s="9"/>
    </row>
    <row r="255" spans="2:4" x14ac:dyDescent="0.25">
      <c r="B255" s="7">
        <v>20105</v>
      </c>
      <c r="C255" s="7" t="s">
        <v>168</v>
      </c>
      <c r="D255" s="8">
        <f>SUM(D256:D257)</f>
        <v>0</v>
      </c>
    </row>
    <row r="256" spans="2:4" x14ac:dyDescent="0.25">
      <c r="B256" s="7">
        <v>2010501</v>
      </c>
      <c r="C256" s="7" t="s">
        <v>162</v>
      </c>
      <c r="D256" s="9"/>
    </row>
    <row r="257" spans="2:4" x14ac:dyDescent="0.25">
      <c r="B257" s="7">
        <v>2010502</v>
      </c>
      <c r="C257" s="7" t="s">
        <v>166</v>
      </c>
      <c r="D257" s="9"/>
    </row>
    <row r="258" spans="2:4" x14ac:dyDescent="0.25">
      <c r="B258" s="7">
        <v>20106</v>
      </c>
      <c r="C258" s="7" t="s">
        <v>169</v>
      </c>
      <c r="D258" s="8">
        <f>SUM(D259:D263)</f>
        <v>0</v>
      </c>
    </row>
    <row r="259" spans="2:4" x14ac:dyDescent="0.25">
      <c r="B259" s="7">
        <v>2010601</v>
      </c>
      <c r="C259" s="7" t="s">
        <v>30</v>
      </c>
      <c r="D259" s="9"/>
    </row>
    <row r="260" spans="2:4" x14ac:dyDescent="0.25">
      <c r="B260" s="7">
        <v>2010602</v>
      </c>
      <c r="C260" s="7" t="s">
        <v>34</v>
      </c>
      <c r="D260" s="9"/>
    </row>
    <row r="261" spans="2:4" x14ac:dyDescent="0.25">
      <c r="B261" s="7">
        <v>2010603</v>
      </c>
      <c r="C261" s="7" t="s">
        <v>38</v>
      </c>
      <c r="D261" s="9"/>
    </row>
    <row r="262" spans="2:4" x14ac:dyDescent="0.25">
      <c r="B262" s="7">
        <v>2010604</v>
      </c>
      <c r="C262" s="7" t="s">
        <v>16</v>
      </c>
      <c r="D262" s="9"/>
    </row>
    <row r="263" spans="2:4" x14ac:dyDescent="0.25">
      <c r="B263" s="7">
        <v>2010605</v>
      </c>
      <c r="C263" s="7" t="s">
        <v>170</v>
      </c>
      <c r="D263" s="9"/>
    </row>
    <row r="264" spans="2:4" x14ac:dyDescent="0.25">
      <c r="B264" s="7">
        <v>20107</v>
      </c>
      <c r="C264" s="7" t="s">
        <v>171</v>
      </c>
      <c r="D264" s="8">
        <f>SUM(D265:D271)</f>
        <v>0</v>
      </c>
    </row>
    <row r="265" spans="2:4" x14ac:dyDescent="0.25">
      <c r="B265" s="7">
        <v>2010701</v>
      </c>
      <c r="C265" s="7" t="s">
        <v>172</v>
      </c>
      <c r="D265" s="9"/>
    </row>
    <row r="266" spans="2:4" x14ac:dyDescent="0.25">
      <c r="B266" s="7">
        <v>2010702</v>
      </c>
      <c r="C266" s="7" t="s">
        <v>173</v>
      </c>
      <c r="D266" s="9"/>
    </row>
    <row r="267" spans="2:4" x14ac:dyDescent="0.25">
      <c r="B267" s="7">
        <v>2010703</v>
      </c>
      <c r="C267" s="7" t="s">
        <v>174</v>
      </c>
      <c r="D267" s="9"/>
    </row>
    <row r="268" spans="2:4" x14ac:dyDescent="0.25">
      <c r="B268" s="7">
        <v>2010704</v>
      </c>
      <c r="C268" s="7" t="s">
        <v>175</v>
      </c>
      <c r="D268" s="9"/>
    </row>
    <row r="269" spans="2:4" x14ac:dyDescent="0.25">
      <c r="B269" s="7">
        <v>2010705</v>
      </c>
      <c r="C269" s="7" t="s">
        <v>176</v>
      </c>
      <c r="D269" s="9"/>
    </row>
    <row r="270" spans="2:4" x14ac:dyDescent="0.25">
      <c r="B270" s="7">
        <v>2010706</v>
      </c>
      <c r="C270" s="7" t="s">
        <v>177</v>
      </c>
      <c r="D270" s="9"/>
    </row>
    <row r="271" spans="2:4" x14ac:dyDescent="0.25">
      <c r="B271" s="7">
        <v>2010707</v>
      </c>
      <c r="C271" s="7" t="s">
        <v>16</v>
      </c>
      <c r="D271" s="9"/>
    </row>
    <row r="272" spans="2:4" x14ac:dyDescent="0.25">
      <c r="B272" s="7">
        <v>20108</v>
      </c>
      <c r="C272" s="7" t="s">
        <v>178</v>
      </c>
      <c r="D272" s="8">
        <f>+D273+D278</f>
        <v>0</v>
      </c>
    </row>
    <row r="273" spans="2:4" x14ac:dyDescent="0.25">
      <c r="B273" s="7">
        <v>2010801</v>
      </c>
      <c r="C273" s="7" t="s">
        <v>162</v>
      </c>
      <c r="D273" s="8">
        <f>SUM(D274:D277)</f>
        <v>0</v>
      </c>
    </row>
    <row r="274" spans="2:4" x14ac:dyDescent="0.25">
      <c r="B274" s="7">
        <v>201080101</v>
      </c>
      <c r="C274" s="7" t="s">
        <v>179</v>
      </c>
      <c r="D274" s="9"/>
    </row>
    <row r="275" spans="2:4" x14ac:dyDescent="0.25">
      <c r="B275" s="7">
        <v>201080102</v>
      </c>
      <c r="C275" s="7" t="s">
        <v>180</v>
      </c>
      <c r="D275" s="9"/>
    </row>
    <row r="276" spans="2:4" x14ac:dyDescent="0.25">
      <c r="B276" s="7">
        <v>201080103</v>
      </c>
      <c r="C276" s="7" t="s">
        <v>164</v>
      </c>
      <c r="D276" s="23"/>
    </row>
    <row r="277" spans="2:4" x14ac:dyDescent="0.25">
      <c r="B277" s="7">
        <v>201080104</v>
      </c>
      <c r="C277" s="7" t="s">
        <v>16</v>
      </c>
      <c r="D277" s="9"/>
    </row>
    <row r="278" spans="2:4" x14ac:dyDescent="0.25">
      <c r="B278" s="7">
        <v>2010802</v>
      </c>
      <c r="C278" s="7" t="s">
        <v>166</v>
      </c>
      <c r="D278" s="8">
        <f>SUM(D279:D282)</f>
        <v>0</v>
      </c>
    </row>
    <row r="279" spans="2:4" x14ac:dyDescent="0.25">
      <c r="B279" s="7">
        <v>201080201</v>
      </c>
      <c r="C279" s="7" t="s">
        <v>179</v>
      </c>
      <c r="D279" s="9"/>
    </row>
    <row r="280" spans="2:4" x14ac:dyDescent="0.25">
      <c r="B280" s="7">
        <v>201080202</v>
      </c>
      <c r="C280" s="7" t="s">
        <v>180</v>
      </c>
      <c r="D280" s="9"/>
    </row>
    <row r="281" spans="2:4" x14ac:dyDescent="0.25">
      <c r="B281" s="7">
        <v>201080203</v>
      </c>
      <c r="C281" s="7" t="s">
        <v>164</v>
      </c>
      <c r="D281" s="9"/>
    </row>
    <row r="282" spans="2:4" x14ac:dyDescent="0.25">
      <c r="B282" s="7">
        <v>201080204</v>
      </c>
      <c r="C282" s="7" t="s">
        <v>16</v>
      </c>
      <c r="D282" s="9"/>
    </row>
    <row r="283" spans="2:4" x14ac:dyDescent="0.25">
      <c r="B283" s="7">
        <v>20109</v>
      </c>
      <c r="C283" s="7" t="s">
        <v>181</v>
      </c>
      <c r="D283" s="9"/>
    </row>
    <row r="284" spans="2:4" x14ac:dyDescent="0.25">
      <c r="B284" s="7">
        <v>20110</v>
      </c>
      <c r="C284" s="7" t="s">
        <v>182</v>
      </c>
      <c r="D284" s="8">
        <f>SUM(D285:D286)</f>
        <v>0</v>
      </c>
    </row>
    <row r="285" spans="2:4" x14ac:dyDescent="0.25">
      <c r="B285" s="7">
        <v>2011001</v>
      </c>
      <c r="C285" s="7" t="s">
        <v>183</v>
      </c>
      <c r="D285" s="9"/>
    </row>
    <row r="286" spans="2:4" x14ac:dyDescent="0.25">
      <c r="B286" s="7">
        <v>2011002</v>
      </c>
      <c r="C286" s="7" t="s">
        <v>184</v>
      </c>
      <c r="D286" s="9"/>
    </row>
    <row r="287" spans="2:4" x14ac:dyDescent="0.25">
      <c r="B287" s="7">
        <v>20111</v>
      </c>
      <c r="C287" s="7" t="s">
        <v>185</v>
      </c>
      <c r="D287" s="9"/>
    </row>
    <row r="288" spans="2:4" x14ac:dyDescent="0.25">
      <c r="B288" s="7">
        <v>20112</v>
      </c>
      <c r="C288" s="7" t="s">
        <v>186</v>
      </c>
      <c r="D288" s="8">
        <f>SUM(D289:D290)</f>
        <v>0</v>
      </c>
    </row>
    <row r="289" spans="2:4" x14ac:dyDescent="0.25">
      <c r="B289" s="7">
        <v>2011201</v>
      </c>
      <c r="C289" s="7" t="s">
        <v>187</v>
      </c>
      <c r="D289" s="9"/>
    </row>
    <row r="290" spans="2:4" x14ac:dyDescent="0.25">
      <c r="B290" s="7">
        <v>2011202</v>
      </c>
      <c r="C290" s="7" t="s">
        <v>188</v>
      </c>
      <c r="D290" s="9"/>
    </row>
    <row r="291" spans="2:4" x14ac:dyDescent="0.25">
      <c r="B291" s="7">
        <v>20113</v>
      </c>
      <c r="C291" s="7" t="s">
        <v>189</v>
      </c>
      <c r="D291" s="8">
        <f>SUM(D292:D303)</f>
        <v>0</v>
      </c>
    </row>
    <row r="292" spans="2:4" x14ac:dyDescent="0.25">
      <c r="B292" s="7">
        <v>2011301</v>
      </c>
      <c r="C292" s="7" t="s">
        <v>190</v>
      </c>
      <c r="D292" s="9"/>
    </row>
    <row r="293" spans="2:4" x14ac:dyDescent="0.25">
      <c r="B293" s="7">
        <v>2011302</v>
      </c>
      <c r="C293" s="7" t="s">
        <v>191</v>
      </c>
      <c r="D293" s="9"/>
    </row>
    <row r="294" spans="2:4" x14ac:dyDescent="0.25">
      <c r="B294" s="7">
        <v>2011303</v>
      </c>
      <c r="C294" s="7" t="s">
        <v>192</v>
      </c>
      <c r="D294" s="9"/>
    </row>
    <row r="295" spans="2:4" x14ac:dyDescent="0.25">
      <c r="B295" s="7">
        <v>2011304</v>
      </c>
      <c r="C295" s="7" t="s">
        <v>193</v>
      </c>
      <c r="D295" s="9"/>
    </row>
    <row r="296" spans="2:4" x14ac:dyDescent="0.25">
      <c r="B296" s="7">
        <v>2011305</v>
      </c>
      <c r="C296" s="7" t="s">
        <v>194</v>
      </c>
      <c r="D296" s="9"/>
    </row>
    <row r="297" spans="2:4" x14ac:dyDescent="0.25">
      <c r="B297" s="7">
        <v>2011306</v>
      </c>
      <c r="C297" s="7" t="s">
        <v>195</v>
      </c>
      <c r="D297" s="9"/>
    </row>
    <row r="298" spans="2:4" x14ac:dyDescent="0.25">
      <c r="B298" s="7">
        <v>2011307</v>
      </c>
      <c r="C298" s="7" t="s">
        <v>196</v>
      </c>
      <c r="D298" s="9"/>
    </row>
    <row r="299" spans="2:4" x14ac:dyDescent="0.25">
      <c r="B299" s="7">
        <v>2011308</v>
      </c>
      <c r="C299" s="7" t="s">
        <v>197</v>
      </c>
      <c r="D299" s="9"/>
    </row>
    <row r="300" spans="2:4" x14ac:dyDescent="0.25">
      <c r="B300" s="7">
        <v>2011309</v>
      </c>
      <c r="C300" s="7" t="s">
        <v>198</v>
      </c>
      <c r="D300" s="9"/>
    </row>
    <row r="301" spans="2:4" x14ac:dyDescent="0.25">
      <c r="B301" s="7">
        <v>2011310</v>
      </c>
      <c r="C301" s="7" t="s">
        <v>199</v>
      </c>
      <c r="D301" s="9"/>
    </row>
    <row r="302" spans="2:4" x14ac:dyDescent="0.25">
      <c r="B302" s="7">
        <v>2011311</v>
      </c>
      <c r="C302" s="7" t="s">
        <v>200</v>
      </c>
      <c r="D302" s="9"/>
    </row>
    <row r="303" spans="2:4" x14ac:dyDescent="0.25">
      <c r="B303" s="7">
        <v>2011312</v>
      </c>
      <c r="C303" s="7" t="s">
        <v>16</v>
      </c>
      <c r="D303" s="9"/>
    </row>
    <row r="304" spans="2:4" x14ac:dyDescent="0.25">
      <c r="B304" s="7">
        <v>20114</v>
      </c>
      <c r="C304" s="7" t="s">
        <v>201</v>
      </c>
      <c r="D304" s="9"/>
    </row>
    <row r="305" spans="2:4" x14ac:dyDescent="0.25">
      <c r="B305" s="7">
        <v>202</v>
      </c>
      <c r="C305" s="7" t="s">
        <v>202</v>
      </c>
      <c r="D305" s="8">
        <f>+D306+D307+D316+D319+D330+D336+D339+D342+D343+D346</f>
        <v>0</v>
      </c>
    </row>
    <row r="306" spans="2:4" x14ac:dyDescent="0.25">
      <c r="B306" s="7">
        <v>20201</v>
      </c>
      <c r="C306" s="7" t="s">
        <v>160</v>
      </c>
      <c r="D306" s="9"/>
    </row>
    <row r="307" spans="2:4" x14ac:dyDescent="0.25">
      <c r="B307" s="7">
        <v>20202</v>
      </c>
      <c r="C307" s="7" t="s">
        <v>161</v>
      </c>
      <c r="D307" s="8">
        <f>+D308+D312</f>
        <v>0</v>
      </c>
    </row>
    <row r="308" spans="2:4" x14ac:dyDescent="0.25">
      <c r="B308" s="7">
        <v>2020201</v>
      </c>
      <c r="C308" s="7" t="s">
        <v>162</v>
      </c>
      <c r="D308" s="8">
        <f>SUM(D309:D311)</f>
        <v>0</v>
      </c>
    </row>
    <row r="309" spans="2:4" x14ac:dyDescent="0.25">
      <c r="B309" s="7">
        <v>202020101</v>
      </c>
      <c r="C309" s="7" t="s">
        <v>163</v>
      </c>
      <c r="D309" s="9"/>
    </row>
    <row r="310" spans="2:4" x14ac:dyDescent="0.25">
      <c r="B310" s="7">
        <v>202020102</v>
      </c>
      <c r="C310" s="7" t="s">
        <v>164</v>
      </c>
      <c r="D310" s="9"/>
    </row>
    <row r="311" spans="2:4" x14ac:dyDescent="0.25">
      <c r="B311" s="7">
        <v>202020103</v>
      </c>
      <c r="C311" s="7" t="s">
        <v>165</v>
      </c>
      <c r="D311" s="9"/>
    </row>
    <row r="312" spans="2:4" x14ac:dyDescent="0.25">
      <c r="B312" s="7">
        <v>2020202</v>
      </c>
      <c r="C312" s="7" t="s">
        <v>166</v>
      </c>
      <c r="D312" s="8">
        <f>SUM(D313:D315)</f>
        <v>0</v>
      </c>
    </row>
    <row r="313" spans="2:4" x14ac:dyDescent="0.25">
      <c r="B313" s="7">
        <v>202020201</v>
      </c>
      <c r="C313" s="7" t="s">
        <v>163</v>
      </c>
      <c r="D313" s="9"/>
    </row>
    <row r="314" spans="2:4" x14ac:dyDescent="0.25">
      <c r="B314" s="7">
        <v>202020202</v>
      </c>
      <c r="C314" s="7" t="s">
        <v>164</v>
      </c>
      <c r="D314" s="9"/>
    </row>
    <row r="315" spans="2:4" x14ac:dyDescent="0.25">
      <c r="B315" s="7">
        <v>202020203</v>
      </c>
      <c r="C315" s="7" t="s">
        <v>165</v>
      </c>
      <c r="D315" s="9"/>
    </row>
    <row r="316" spans="2:4" x14ac:dyDescent="0.25">
      <c r="B316" s="7">
        <v>20203</v>
      </c>
      <c r="C316" s="7" t="s">
        <v>167</v>
      </c>
      <c r="D316" s="8">
        <f>SUM(D317:D318)</f>
        <v>0</v>
      </c>
    </row>
    <row r="317" spans="2:4" x14ac:dyDescent="0.25">
      <c r="B317" s="7">
        <v>2020301</v>
      </c>
      <c r="C317" s="7" t="s">
        <v>162</v>
      </c>
      <c r="D317" s="9"/>
    </row>
    <row r="318" spans="2:4" x14ac:dyDescent="0.25">
      <c r="B318" s="7">
        <v>2020302</v>
      </c>
      <c r="C318" s="7" t="s">
        <v>166</v>
      </c>
      <c r="D318" s="9"/>
    </row>
    <row r="319" spans="2:4" x14ac:dyDescent="0.25">
      <c r="B319" s="7">
        <v>20204</v>
      </c>
      <c r="C319" s="7" t="s">
        <v>178</v>
      </c>
      <c r="D319" s="8">
        <f>+D320+D325</f>
        <v>0</v>
      </c>
    </row>
    <row r="320" spans="2:4" x14ac:dyDescent="0.25">
      <c r="B320" s="7">
        <v>2020401</v>
      </c>
      <c r="C320" s="7" t="s">
        <v>162</v>
      </c>
      <c r="D320" s="8">
        <f>SUM(D321:D324)</f>
        <v>0</v>
      </c>
    </row>
    <row r="321" spans="2:4" x14ac:dyDescent="0.25">
      <c r="B321" s="7">
        <v>202040101</v>
      </c>
      <c r="C321" s="7" t="s">
        <v>179</v>
      </c>
      <c r="D321" s="9"/>
    </row>
    <row r="322" spans="2:4" x14ac:dyDescent="0.25">
      <c r="B322" s="7">
        <v>202040102</v>
      </c>
      <c r="C322" s="7" t="s">
        <v>180</v>
      </c>
      <c r="D322" s="9"/>
    </row>
    <row r="323" spans="2:4" x14ac:dyDescent="0.25">
      <c r="B323" s="7">
        <v>202040103</v>
      </c>
      <c r="C323" s="7" t="s">
        <v>164</v>
      </c>
      <c r="D323" s="9"/>
    </row>
    <row r="324" spans="2:4" x14ac:dyDescent="0.25">
      <c r="B324" s="7">
        <v>202040104</v>
      </c>
      <c r="C324" s="7" t="s">
        <v>16</v>
      </c>
      <c r="D324" s="9"/>
    </row>
    <row r="325" spans="2:4" x14ac:dyDescent="0.25">
      <c r="B325" s="7">
        <v>2020402</v>
      </c>
      <c r="C325" s="7" t="s">
        <v>166</v>
      </c>
      <c r="D325" s="8">
        <f>SUM(D326:D329)</f>
        <v>0</v>
      </c>
    </row>
    <row r="326" spans="2:4" x14ac:dyDescent="0.25">
      <c r="B326" s="7">
        <v>202040201</v>
      </c>
      <c r="C326" s="7" t="s">
        <v>179</v>
      </c>
      <c r="D326" s="8"/>
    </row>
    <row r="327" spans="2:4" x14ac:dyDescent="0.25">
      <c r="B327" s="7">
        <v>202040202</v>
      </c>
      <c r="C327" s="7" t="s">
        <v>180</v>
      </c>
      <c r="D327" s="9"/>
    </row>
    <row r="328" spans="2:4" x14ac:dyDescent="0.25">
      <c r="B328" s="7">
        <v>202040203</v>
      </c>
      <c r="C328" s="7" t="s">
        <v>164</v>
      </c>
      <c r="D328" s="9"/>
    </row>
    <row r="329" spans="2:4" x14ac:dyDescent="0.25">
      <c r="B329" s="7">
        <v>202040204</v>
      </c>
      <c r="C329" s="7" t="s">
        <v>16</v>
      </c>
      <c r="D329" s="9"/>
    </row>
    <row r="330" spans="2:4" x14ac:dyDescent="0.25">
      <c r="B330" s="7">
        <v>20205</v>
      </c>
      <c r="C330" s="7" t="s">
        <v>203</v>
      </c>
      <c r="D330" s="8">
        <f>SUM(D331:D335)</f>
        <v>0</v>
      </c>
    </row>
    <row r="331" spans="2:4" x14ac:dyDescent="0.25">
      <c r="B331" s="7">
        <v>2020501</v>
      </c>
      <c r="C331" s="7" t="s">
        <v>30</v>
      </c>
      <c r="D331" s="9"/>
    </row>
    <row r="332" spans="2:4" x14ac:dyDescent="0.25">
      <c r="B332" s="7">
        <v>2020502</v>
      </c>
      <c r="C332" s="7" t="s">
        <v>34</v>
      </c>
      <c r="D332" s="9"/>
    </row>
    <row r="333" spans="2:4" x14ac:dyDescent="0.25">
      <c r="B333" s="7">
        <v>2020503</v>
      </c>
      <c r="C333" s="7" t="s">
        <v>38</v>
      </c>
      <c r="D333" s="9"/>
    </row>
    <row r="334" spans="2:4" x14ac:dyDescent="0.25">
      <c r="B334" s="7">
        <v>2020504</v>
      </c>
      <c r="C334" s="7" t="s">
        <v>16</v>
      </c>
      <c r="D334" s="9"/>
    </row>
    <row r="335" spans="2:4" x14ac:dyDescent="0.25">
      <c r="B335" s="7">
        <v>2020505</v>
      </c>
      <c r="C335" s="7" t="s">
        <v>170</v>
      </c>
      <c r="D335" s="9"/>
    </row>
    <row r="336" spans="2:4" x14ac:dyDescent="0.25">
      <c r="B336" s="7">
        <v>20206</v>
      </c>
      <c r="C336" s="7" t="s">
        <v>182</v>
      </c>
      <c r="D336" s="8">
        <f>SUM(D337:D338)</f>
        <v>0</v>
      </c>
    </row>
    <row r="337" spans="2:4" x14ac:dyDescent="0.25">
      <c r="B337" s="7">
        <v>2020601</v>
      </c>
      <c r="C337" s="7" t="s">
        <v>183</v>
      </c>
      <c r="D337" s="10"/>
    </row>
    <row r="338" spans="2:4" x14ac:dyDescent="0.25">
      <c r="B338" s="7">
        <v>2020602</v>
      </c>
      <c r="C338" s="7" t="s">
        <v>184</v>
      </c>
      <c r="D338" s="9"/>
    </row>
    <row r="339" spans="2:4" x14ac:dyDescent="0.25">
      <c r="B339" s="7">
        <v>20207</v>
      </c>
      <c r="C339" s="7" t="s">
        <v>204</v>
      </c>
      <c r="D339" s="8">
        <f>SUM(D340:D341)</f>
        <v>0</v>
      </c>
    </row>
    <row r="340" spans="2:4" x14ac:dyDescent="0.25">
      <c r="B340" s="7">
        <v>2020701</v>
      </c>
      <c r="C340" s="7" t="s">
        <v>187</v>
      </c>
      <c r="D340" s="9"/>
    </row>
    <row r="341" spans="2:4" x14ac:dyDescent="0.25">
      <c r="B341" s="7">
        <v>2020702</v>
      </c>
      <c r="C341" s="7" t="s">
        <v>205</v>
      </c>
      <c r="D341" s="9"/>
    </row>
    <row r="342" spans="2:4" x14ac:dyDescent="0.25">
      <c r="B342" s="7">
        <v>20208</v>
      </c>
      <c r="C342" s="7" t="s">
        <v>206</v>
      </c>
      <c r="D342" s="9"/>
    </row>
    <row r="343" spans="2:4" x14ac:dyDescent="0.25">
      <c r="B343" s="7">
        <v>20209</v>
      </c>
      <c r="C343" s="7" t="s">
        <v>207</v>
      </c>
      <c r="D343" s="8">
        <f>SUM(D344:D345)</f>
        <v>0</v>
      </c>
    </row>
    <row r="344" spans="2:4" x14ac:dyDescent="0.25">
      <c r="B344" s="7">
        <v>2020901</v>
      </c>
      <c r="C344" s="7" t="s">
        <v>208</v>
      </c>
      <c r="D344" s="9"/>
    </row>
    <row r="345" spans="2:4" x14ac:dyDescent="0.25">
      <c r="B345" s="7">
        <v>2020902</v>
      </c>
      <c r="C345" s="7" t="s">
        <v>209</v>
      </c>
      <c r="D345" s="9"/>
    </row>
    <row r="346" spans="2:4" x14ac:dyDescent="0.25">
      <c r="B346" s="7">
        <v>20210</v>
      </c>
      <c r="C346" s="7" t="s">
        <v>210</v>
      </c>
      <c r="D346" s="9"/>
    </row>
    <row r="347" spans="2:4" x14ac:dyDescent="0.25">
      <c r="B347" s="7">
        <v>3</v>
      </c>
      <c r="C347" s="7" t="s">
        <v>211</v>
      </c>
      <c r="D347" s="8">
        <f>+D348+D378</f>
        <v>0</v>
      </c>
    </row>
    <row r="348" spans="2:4" x14ac:dyDescent="0.25">
      <c r="B348" s="7">
        <v>30</v>
      </c>
      <c r="C348" s="7" t="s">
        <v>212</v>
      </c>
      <c r="D348" s="8">
        <f>+D349+D357+D358+D359+D362+D367+D375</f>
        <v>0</v>
      </c>
    </row>
    <row r="349" spans="2:4" x14ac:dyDescent="0.25">
      <c r="B349" s="7">
        <v>301</v>
      </c>
      <c r="C349" s="7" t="s">
        <v>213</v>
      </c>
      <c r="D349" s="8">
        <f>SUM(D350:D354)</f>
        <v>0</v>
      </c>
    </row>
    <row r="350" spans="2:4" x14ac:dyDescent="0.25">
      <c r="B350" s="7">
        <v>30101</v>
      </c>
      <c r="C350" s="7" t="s">
        <v>214</v>
      </c>
      <c r="D350" s="9"/>
    </row>
    <row r="351" spans="2:4" x14ac:dyDescent="0.25">
      <c r="B351" s="7">
        <v>30102</v>
      </c>
      <c r="C351" s="7" t="s">
        <v>215</v>
      </c>
      <c r="D351" s="9"/>
    </row>
    <row r="352" spans="2:4" x14ac:dyDescent="0.25">
      <c r="B352" s="7">
        <v>30103</v>
      </c>
      <c r="C352" s="7" t="s">
        <v>216</v>
      </c>
      <c r="D352" s="9"/>
    </row>
    <row r="353" spans="2:4" x14ac:dyDescent="0.25">
      <c r="B353" s="7">
        <v>30104</v>
      </c>
      <c r="C353" s="7" t="s">
        <v>217</v>
      </c>
      <c r="D353" s="9"/>
    </row>
    <row r="354" spans="2:4" x14ac:dyDescent="0.25">
      <c r="B354" s="7">
        <v>30105</v>
      </c>
      <c r="C354" s="7" t="s">
        <v>218</v>
      </c>
      <c r="D354" s="8">
        <f>SUM(D355:D356)</f>
        <v>0</v>
      </c>
    </row>
    <row r="355" spans="2:4" x14ac:dyDescent="0.25">
      <c r="B355" s="7">
        <v>3010501</v>
      </c>
      <c r="C355" s="7" t="s">
        <v>219</v>
      </c>
      <c r="D355" s="9"/>
    </row>
    <row r="356" spans="2:4" x14ac:dyDescent="0.25">
      <c r="B356" s="7">
        <v>3010502</v>
      </c>
      <c r="C356" s="7" t="s">
        <v>220</v>
      </c>
      <c r="D356" s="9"/>
    </row>
    <row r="357" spans="2:4" x14ac:dyDescent="0.25">
      <c r="B357" s="7">
        <v>302</v>
      </c>
      <c r="C357" s="7" t="s">
        <v>221</v>
      </c>
      <c r="D357" s="9"/>
    </row>
    <row r="358" spans="2:4" x14ac:dyDescent="0.25">
      <c r="B358" s="7">
        <v>303</v>
      </c>
      <c r="C358" s="7" t="s">
        <v>222</v>
      </c>
      <c r="D358" s="9"/>
    </row>
    <row r="359" spans="2:4" x14ac:dyDescent="0.25">
      <c r="B359" s="7">
        <v>304</v>
      </c>
      <c r="C359" s="7" t="s">
        <v>223</v>
      </c>
      <c r="D359" s="8">
        <f>SUM(D360:D361)</f>
        <v>0</v>
      </c>
    </row>
    <row r="360" spans="2:4" x14ac:dyDescent="0.25">
      <c r="B360" s="7">
        <v>30401</v>
      </c>
      <c r="C360" s="7" t="s">
        <v>224</v>
      </c>
      <c r="D360" s="9"/>
    </row>
    <row r="361" spans="2:4" x14ac:dyDescent="0.25">
      <c r="B361" s="7">
        <v>30402</v>
      </c>
      <c r="C361" s="7" t="s">
        <v>225</v>
      </c>
      <c r="D361" s="9"/>
    </row>
    <row r="362" spans="2:4" x14ac:dyDescent="0.25">
      <c r="B362" s="7">
        <v>305</v>
      </c>
      <c r="C362" s="7" t="s">
        <v>226</v>
      </c>
      <c r="D362" s="8">
        <f>SUM(D363:D366)</f>
        <v>0</v>
      </c>
    </row>
    <row r="363" spans="2:4" x14ac:dyDescent="0.25">
      <c r="B363" s="7">
        <v>30501</v>
      </c>
      <c r="C363" s="7" t="s">
        <v>227</v>
      </c>
      <c r="D363" s="9"/>
    </row>
    <row r="364" spans="2:4" x14ac:dyDescent="0.25">
      <c r="B364" s="7">
        <v>30502</v>
      </c>
      <c r="C364" s="7" t="s">
        <v>228</v>
      </c>
      <c r="D364" s="9"/>
    </row>
    <row r="365" spans="2:4" x14ac:dyDescent="0.25">
      <c r="B365" s="7">
        <v>30503</v>
      </c>
      <c r="C365" s="7" t="s">
        <v>229</v>
      </c>
      <c r="D365" s="9"/>
    </row>
    <row r="366" spans="2:4" x14ac:dyDescent="0.25">
      <c r="B366" s="7">
        <v>30504</v>
      </c>
      <c r="C366" s="7" t="s">
        <v>230</v>
      </c>
      <c r="D366" s="9"/>
    </row>
    <row r="367" spans="2:4" x14ac:dyDescent="0.25">
      <c r="B367" s="7">
        <v>306</v>
      </c>
      <c r="C367" s="7" t="s">
        <v>231</v>
      </c>
      <c r="D367" s="8">
        <f>SUM(D368:D374)</f>
        <v>0</v>
      </c>
    </row>
    <row r="368" spans="2:4" x14ac:dyDescent="0.25">
      <c r="B368" s="7">
        <v>30601</v>
      </c>
      <c r="C368" s="7" t="s">
        <v>232</v>
      </c>
      <c r="D368" s="9"/>
    </row>
    <row r="369" spans="2:4" x14ac:dyDescent="0.25">
      <c r="B369" s="7">
        <v>30602</v>
      </c>
      <c r="C369" s="7" t="s">
        <v>233</v>
      </c>
      <c r="D369" s="9"/>
    </row>
    <row r="370" spans="2:4" x14ac:dyDescent="0.25">
      <c r="B370" s="7">
        <v>30603</v>
      </c>
      <c r="C370" s="7" t="s">
        <v>234</v>
      </c>
      <c r="D370" s="9"/>
    </row>
    <row r="371" spans="2:4" x14ac:dyDescent="0.25">
      <c r="B371" s="7">
        <v>30604</v>
      </c>
      <c r="C371" s="7" t="s">
        <v>235</v>
      </c>
      <c r="D371" s="9"/>
    </row>
    <row r="372" spans="2:4" x14ac:dyDescent="0.25">
      <c r="B372" s="7">
        <v>30605</v>
      </c>
      <c r="C372" s="7" t="s">
        <v>236</v>
      </c>
      <c r="D372" s="9"/>
    </row>
    <row r="373" spans="2:4" x14ac:dyDescent="0.25">
      <c r="B373" s="7">
        <v>30606</v>
      </c>
      <c r="C373" s="7" t="s">
        <v>237</v>
      </c>
      <c r="D373" s="9"/>
    </row>
    <row r="374" spans="2:4" x14ac:dyDescent="0.25">
      <c r="B374" s="7">
        <v>30607</v>
      </c>
      <c r="C374" s="7" t="s">
        <v>238</v>
      </c>
      <c r="D374" s="9"/>
    </row>
    <row r="375" spans="2:4" x14ac:dyDescent="0.25">
      <c r="B375" s="7">
        <v>307</v>
      </c>
      <c r="C375" s="7" t="s">
        <v>239</v>
      </c>
      <c r="D375" s="8">
        <f>SUM(D376:D377)</f>
        <v>0</v>
      </c>
    </row>
    <row r="376" spans="2:4" x14ac:dyDescent="0.25">
      <c r="B376" s="7">
        <v>30701</v>
      </c>
      <c r="C376" s="7" t="s">
        <v>240</v>
      </c>
      <c r="D376" s="9"/>
    </row>
    <row r="377" spans="2:4" x14ac:dyDescent="0.25">
      <c r="B377" s="7">
        <v>30702</v>
      </c>
      <c r="C377" s="7" t="s">
        <v>241</v>
      </c>
      <c r="D377" s="9"/>
    </row>
    <row r="378" spans="2:4" x14ac:dyDescent="0.25">
      <c r="B378" s="7">
        <v>31</v>
      </c>
      <c r="C378" s="7" t="s">
        <v>242</v>
      </c>
      <c r="D378" s="9"/>
    </row>
    <row r="379" spans="2:4" x14ac:dyDescent="0.25">
      <c r="D379" s="3"/>
    </row>
    <row r="380" spans="2:4" x14ac:dyDescent="0.25">
      <c r="D380" s="3"/>
    </row>
    <row r="381" spans="2:4" x14ac:dyDescent="0.25">
      <c r="D381" s="3"/>
    </row>
    <row r="382" spans="2:4" x14ac:dyDescent="0.25">
      <c r="D382" s="3"/>
    </row>
    <row r="383" spans="2:4" x14ac:dyDescent="0.25">
      <c r="D383" s="3"/>
    </row>
    <row r="384" spans="2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</sheetData>
  <mergeCells count="1">
    <mergeCell ref="B1:D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rArchivoTxt">
                <anchor moveWithCells="1" sizeWithCells="1">
                  <from>
                    <xdr:col>4</xdr:col>
                    <xdr:colOff>333375</xdr:colOff>
                    <xdr:row>0</xdr:row>
                    <xdr:rowOff>85725</xdr:rowOff>
                  </from>
                  <to>
                    <xdr:col>6</xdr:col>
                    <xdr:colOff>419100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3"/>
  </sheetPr>
  <dimension ref="B1:D512"/>
  <sheetViews>
    <sheetView topLeftCell="A231" workbookViewId="0">
      <selection activeCell="D233" sqref="D233"/>
    </sheetView>
  </sheetViews>
  <sheetFormatPr baseColWidth="10" defaultRowHeight="15" x14ac:dyDescent="0.25"/>
  <cols>
    <col min="2" max="2" width="17.5703125" customWidth="1"/>
    <col min="3" max="3" width="57.42578125" customWidth="1"/>
    <col min="4" max="4" width="16.5703125" style="1" customWidth="1"/>
  </cols>
  <sheetData>
    <row r="1" spans="2:4" x14ac:dyDescent="0.25">
      <c r="B1" s="24" t="s">
        <v>505</v>
      </c>
      <c r="C1" s="24"/>
      <c r="D1" s="24"/>
    </row>
    <row r="2" spans="2:4" x14ac:dyDescent="0.25">
      <c r="B2" s="2" t="s">
        <v>0</v>
      </c>
      <c r="C2" s="2" t="s">
        <v>1</v>
      </c>
      <c r="D2" s="2" t="s">
        <v>504</v>
      </c>
    </row>
    <row r="3" spans="2:4" x14ac:dyDescent="0.25">
      <c r="B3" s="7">
        <v>401</v>
      </c>
      <c r="C3" s="7" t="s">
        <v>243</v>
      </c>
      <c r="D3" s="11">
        <f>+D4+D5+D10+D11+D12+D13+D17+D18+D19+D40+D47+D48+D49+D50+D51</f>
        <v>0</v>
      </c>
    </row>
    <row r="4" spans="2:4" x14ac:dyDescent="0.25">
      <c r="B4" s="7">
        <v>40101</v>
      </c>
      <c r="C4" s="7" t="s">
        <v>244</v>
      </c>
      <c r="D4" s="12"/>
    </row>
    <row r="5" spans="2:4" x14ac:dyDescent="0.25">
      <c r="B5" s="7">
        <v>40102</v>
      </c>
      <c r="C5" s="7" t="s">
        <v>245</v>
      </c>
      <c r="D5" s="11">
        <f>SUM(D6:D9)</f>
        <v>0</v>
      </c>
    </row>
    <row r="6" spans="2:4" x14ac:dyDescent="0.25">
      <c r="B6" s="7">
        <v>4010201</v>
      </c>
      <c r="C6" s="7" t="s">
        <v>246</v>
      </c>
      <c r="D6" s="12"/>
    </row>
    <row r="7" spans="2:4" x14ac:dyDescent="0.25">
      <c r="B7" s="7">
        <v>4010202</v>
      </c>
      <c r="C7" s="7" t="s">
        <v>247</v>
      </c>
      <c r="D7" s="12"/>
    </row>
    <row r="8" spans="2:4" x14ac:dyDescent="0.25">
      <c r="B8" s="7">
        <v>4010203</v>
      </c>
      <c r="C8" s="7" t="s">
        <v>248</v>
      </c>
      <c r="D8" s="12"/>
    </row>
    <row r="9" spans="2:4" x14ac:dyDescent="0.25">
      <c r="B9" s="7">
        <v>4010204</v>
      </c>
      <c r="C9" s="7" t="s">
        <v>16</v>
      </c>
      <c r="D9" s="12"/>
    </row>
    <row r="10" spans="2:4" x14ac:dyDescent="0.25">
      <c r="B10" s="7">
        <v>40103</v>
      </c>
      <c r="C10" s="7" t="s">
        <v>249</v>
      </c>
      <c r="D10" s="12"/>
    </row>
    <row r="11" spans="2:4" x14ac:dyDescent="0.25">
      <c r="B11" s="7">
        <v>40104</v>
      </c>
      <c r="C11" s="7" t="s">
        <v>250</v>
      </c>
      <c r="D11" s="12"/>
    </row>
    <row r="12" spans="2:4" x14ac:dyDescent="0.25">
      <c r="B12" s="7">
        <v>40105</v>
      </c>
      <c r="C12" s="7" t="s">
        <v>251</v>
      </c>
      <c r="D12" s="12"/>
    </row>
    <row r="13" spans="2:4" x14ac:dyDescent="0.25">
      <c r="B13" s="7">
        <v>40106</v>
      </c>
      <c r="C13" s="7" t="s">
        <v>252</v>
      </c>
      <c r="D13" s="11">
        <f>SUM(D14:D16)</f>
        <v>0</v>
      </c>
    </row>
    <row r="14" spans="2:4" x14ac:dyDescent="0.25">
      <c r="B14" s="7">
        <v>4010601</v>
      </c>
      <c r="C14" s="7" t="s">
        <v>253</v>
      </c>
      <c r="D14" s="12"/>
    </row>
    <row r="15" spans="2:4" x14ac:dyDescent="0.25">
      <c r="B15" s="7">
        <v>4010602</v>
      </c>
      <c r="C15" s="7" t="s">
        <v>254</v>
      </c>
      <c r="D15" s="12"/>
    </row>
    <row r="16" spans="2:4" x14ac:dyDescent="0.25">
      <c r="B16" s="7">
        <v>4010603</v>
      </c>
      <c r="C16" s="7" t="s">
        <v>255</v>
      </c>
      <c r="D16" s="12"/>
    </row>
    <row r="17" spans="2:4" x14ac:dyDescent="0.25">
      <c r="B17" s="7">
        <v>40107</v>
      </c>
      <c r="C17" s="7" t="s">
        <v>256</v>
      </c>
      <c r="D17" s="12"/>
    </row>
    <row r="18" spans="2:4" x14ac:dyDescent="0.25">
      <c r="B18" s="7">
        <v>40108</v>
      </c>
      <c r="C18" s="7" t="s">
        <v>257</v>
      </c>
      <c r="D18" s="12"/>
    </row>
    <row r="19" spans="2:4" x14ac:dyDescent="0.25">
      <c r="B19" s="7">
        <v>40109</v>
      </c>
      <c r="C19" s="7" t="s">
        <v>258</v>
      </c>
      <c r="D19" s="11">
        <f>+D20+D26+D35</f>
        <v>0</v>
      </c>
    </row>
    <row r="20" spans="2:4" x14ac:dyDescent="0.25">
      <c r="B20" s="7">
        <v>4010901</v>
      </c>
      <c r="C20" s="7" t="s">
        <v>259</v>
      </c>
      <c r="D20" s="11">
        <f>SUM(D21:D25)</f>
        <v>0</v>
      </c>
    </row>
    <row r="21" spans="2:4" x14ac:dyDescent="0.25">
      <c r="B21" s="7">
        <v>401090101</v>
      </c>
      <c r="C21" s="7" t="s">
        <v>260</v>
      </c>
      <c r="D21" s="12"/>
    </row>
    <row r="22" spans="2:4" x14ac:dyDescent="0.25">
      <c r="B22" s="7">
        <v>401090103</v>
      </c>
      <c r="C22" s="7" t="s">
        <v>200</v>
      </c>
      <c r="D22" s="12"/>
    </row>
    <row r="23" spans="2:4" x14ac:dyDescent="0.25">
      <c r="B23" s="7">
        <v>401090104</v>
      </c>
      <c r="C23" s="7" t="s">
        <v>261</v>
      </c>
      <c r="D23" s="12"/>
    </row>
    <row r="24" spans="2:4" x14ac:dyDescent="0.25">
      <c r="B24" s="7">
        <v>401090105</v>
      </c>
      <c r="C24" s="7" t="s">
        <v>262</v>
      </c>
      <c r="D24" s="12"/>
    </row>
    <row r="25" spans="2:4" x14ac:dyDescent="0.25">
      <c r="B25" s="7">
        <v>401090106</v>
      </c>
      <c r="C25" s="7" t="s">
        <v>263</v>
      </c>
      <c r="D25" s="12"/>
    </row>
    <row r="26" spans="2:4" x14ac:dyDescent="0.25">
      <c r="B26" s="7">
        <v>4010902</v>
      </c>
      <c r="C26" s="7" t="s">
        <v>264</v>
      </c>
      <c r="D26" s="11">
        <f>SUM(D27:D34)</f>
        <v>0</v>
      </c>
    </row>
    <row r="27" spans="2:4" x14ac:dyDescent="0.25">
      <c r="B27" s="7">
        <v>401090201</v>
      </c>
      <c r="C27" s="7" t="s">
        <v>265</v>
      </c>
      <c r="D27" s="12"/>
    </row>
    <row r="28" spans="2:4" x14ac:dyDescent="0.25">
      <c r="B28" s="7">
        <v>401090202</v>
      </c>
      <c r="C28" s="7" t="s">
        <v>266</v>
      </c>
      <c r="D28" s="12"/>
    </row>
    <row r="29" spans="2:4" x14ac:dyDescent="0.25">
      <c r="B29" s="7">
        <v>401090203</v>
      </c>
      <c r="C29" s="7" t="s">
        <v>267</v>
      </c>
      <c r="D29" s="12"/>
    </row>
    <row r="30" spans="2:4" x14ac:dyDescent="0.25">
      <c r="B30" s="7">
        <v>401090204</v>
      </c>
      <c r="C30" s="7" t="s">
        <v>268</v>
      </c>
      <c r="D30" s="12"/>
    </row>
    <row r="31" spans="2:4" x14ac:dyDescent="0.25">
      <c r="B31" s="7">
        <v>401090205</v>
      </c>
      <c r="C31" s="7" t="s">
        <v>269</v>
      </c>
      <c r="D31" s="12"/>
    </row>
    <row r="32" spans="2:4" x14ac:dyDescent="0.25">
      <c r="B32" s="7">
        <v>401090206</v>
      </c>
      <c r="C32" s="7" t="s">
        <v>270</v>
      </c>
      <c r="D32" s="12"/>
    </row>
    <row r="33" spans="2:4" x14ac:dyDescent="0.25">
      <c r="B33" s="7">
        <v>401090207</v>
      </c>
      <c r="C33" s="7" t="s">
        <v>271</v>
      </c>
      <c r="D33" s="12"/>
    </row>
    <row r="34" spans="2:4" x14ac:dyDescent="0.25">
      <c r="B34" s="7">
        <v>401090208</v>
      </c>
      <c r="C34" s="7" t="s">
        <v>272</v>
      </c>
      <c r="D34" s="12"/>
    </row>
    <row r="35" spans="2:4" x14ac:dyDescent="0.25">
      <c r="B35" s="7">
        <v>4010903</v>
      </c>
      <c r="C35" s="7" t="s">
        <v>273</v>
      </c>
      <c r="D35" s="11">
        <f>SUM(D36:D39)</f>
        <v>0</v>
      </c>
    </row>
    <row r="36" spans="2:4" x14ac:dyDescent="0.25">
      <c r="B36" s="7">
        <v>401090301</v>
      </c>
      <c r="C36" s="7" t="s">
        <v>274</v>
      </c>
      <c r="D36" s="12"/>
    </row>
    <row r="37" spans="2:4" x14ac:dyDescent="0.25">
      <c r="B37" s="7">
        <v>401090302</v>
      </c>
      <c r="C37" s="7" t="s">
        <v>275</v>
      </c>
      <c r="D37" s="12"/>
    </row>
    <row r="38" spans="2:4" x14ac:dyDescent="0.25">
      <c r="B38" s="7">
        <v>401090303</v>
      </c>
      <c r="C38" s="7" t="s">
        <v>276</v>
      </c>
      <c r="D38" s="12"/>
    </row>
    <row r="39" spans="2:4" x14ac:dyDescent="0.25">
      <c r="B39" s="7">
        <v>401090304</v>
      </c>
      <c r="C39" s="7" t="s">
        <v>16</v>
      </c>
      <c r="D39" s="12"/>
    </row>
    <row r="40" spans="2:4" x14ac:dyDescent="0.25">
      <c r="B40" s="7">
        <v>40110</v>
      </c>
      <c r="C40" s="7" t="s">
        <v>277</v>
      </c>
      <c r="D40" s="11">
        <f>SUM(D41:D46)</f>
        <v>0</v>
      </c>
    </row>
    <row r="41" spans="2:4" x14ac:dyDescent="0.25">
      <c r="B41" s="7">
        <v>4011001</v>
      </c>
      <c r="C41" s="7" t="s">
        <v>256</v>
      </c>
      <c r="D41" s="12"/>
    </row>
    <row r="42" spans="2:4" x14ac:dyDescent="0.25">
      <c r="B42" s="7">
        <v>4011002</v>
      </c>
      <c r="C42" s="7" t="s">
        <v>278</v>
      </c>
      <c r="D42" s="12"/>
    </row>
    <row r="43" spans="2:4" x14ac:dyDescent="0.25">
      <c r="B43" s="7">
        <v>4011003</v>
      </c>
      <c r="C43" s="7" t="s">
        <v>279</v>
      </c>
      <c r="D43" s="12"/>
    </row>
    <row r="44" spans="2:4" x14ac:dyDescent="0.25">
      <c r="B44" s="7">
        <v>4011004</v>
      </c>
      <c r="C44" s="7" t="s">
        <v>280</v>
      </c>
      <c r="D44" s="12"/>
    </row>
    <row r="45" spans="2:4" x14ac:dyDescent="0.25">
      <c r="B45" s="7">
        <v>4011005</v>
      </c>
      <c r="C45" s="7" t="s">
        <v>281</v>
      </c>
      <c r="D45" s="12"/>
    </row>
    <row r="46" spans="2:4" x14ac:dyDescent="0.25">
      <c r="B46" s="7">
        <v>4011006</v>
      </c>
      <c r="C46" s="7" t="s">
        <v>282</v>
      </c>
      <c r="D46" s="12"/>
    </row>
    <row r="47" spans="2:4" x14ac:dyDescent="0.25">
      <c r="B47" s="7">
        <v>40112</v>
      </c>
      <c r="C47" s="7" t="s">
        <v>283</v>
      </c>
      <c r="D47" s="12"/>
    </row>
    <row r="48" spans="2:4" x14ac:dyDescent="0.25">
      <c r="B48" s="7">
        <v>40113</v>
      </c>
      <c r="C48" s="7" t="s">
        <v>284</v>
      </c>
      <c r="D48" s="12"/>
    </row>
    <row r="49" spans="2:4" x14ac:dyDescent="0.25">
      <c r="B49" s="7">
        <v>40114</v>
      </c>
      <c r="C49" s="7" t="s">
        <v>285</v>
      </c>
      <c r="D49" s="12"/>
    </row>
    <row r="50" spans="2:4" x14ac:dyDescent="0.25">
      <c r="B50" s="7">
        <v>40115</v>
      </c>
      <c r="C50" s="7" t="s">
        <v>286</v>
      </c>
      <c r="D50" s="12"/>
    </row>
    <row r="51" spans="2:4" x14ac:dyDescent="0.25">
      <c r="B51" s="7">
        <v>40116</v>
      </c>
      <c r="C51" s="7" t="s">
        <v>287</v>
      </c>
      <c r="D51" s="12"/>
    </row>
    <row r="52" spans="2:4" x14ac:dyDescent="0.25">
      <c r="B52" s="7">
        <v>402</v>
      </c>
      <c r="C52" s="7" t="s">
        <v>288</v>
      </c>
      <c r="D52" s="11">
        <f>+D3-D57</f>
        <v>0</v>
      </c>
    </row>
    <row r="53" spans="2:4" x14ac:dyDescent="0.25">
      <c r="B53" s="7">
        <v>403</v>
      </c>
      <c r="C53" s="7" t="s">
        <v>289</v>
      </c>
      <c r="D53" s="11">
        <f>SUM(D54:D56)</f>
        <v>0</v>
      </c>
    </row>
    <row r="54" spans="2:4" x14ac:dyDescent="0.25">
      <c r="B54" s="7">
        <v>40301</v>
      </c>
      <c r="C54" s="7" t="s">
        <v>290</v>
      </c>
      <c r="D54" s="12"/>
    </row>
    <row r="55" spans="2:4" x14ac:dyDescent="0.25">
      <c r="B55" s="7">
        <v>40302</v>
      </c>
      <c r="C55" s="7" t="s">
        <v>291</v>
      </c>
      <c r="D55" s="12"/>
    </row>
    <row r="56" spans="2:4" x14ac:dyDescent="0.25">
      <c r="B56" s="7">
        <v>40303</v>
      </c>
      <c r="C56" s="7" t="s">
        <v>16</v>
      </c>
      <c r="D56" s="12"/>
    </row>
    <row r="57" spans="2:4" x14ac:dyDescent="0.25">
      <c r="B57" s="7">
        <v>501</v>
      </c>
      <c r="C57" s="7" t="s">
        <v>292</v>
      </c>
      <c r="D57" s="11">
        <f>+D58+D71+D74+D77+D86</f>
        <v>0</v>
      </c>
    </row>
    <row r="58" spans="2:4" x14ac:dyDescent="0.25">
      <c r="B58" s="7">
        <v>50101</v>
      </c>
      <c r="C58" s="7" t="s">
        <v>293</v>
      </c>
      <c r="D58" s="11">
        <f>SUM(D59:D70)</f>
        <v>0</v>
      </c>
    </row>
    <row r="59" spans="2:4" x14ac:dyDescent="0.25">
      <c r="B59" s="7">
        <v>5010101</v>
      </c>
      <c r="C59" s="7" t="s">
        <v>294</v>
      </c>
      <c r="D59" s="12"/>
    </row>
    <row r="60" spans="2:4" x14ac:dyDescent="0.25">
      <c r="B60" s="7">
        <v>5010102</v>
      </c>
      <c r="C60" s="7" t="s">
        <v>295</v>
      </c>
      <c r="D60" s="12"/>
    </row>
    <row r="61" spans="2:4" x14ac:dyDescent="0.25">
      <c r="B61" s="7">
        <v>5010103</v>
      </c>
      <c r="C61" s="7" t="s">
        <v>296</v>
      </c>
      <c r="D61" s="12"/>
    </row>
    <row r="62" spans="2:4" x14ac:dyDescent="0.25">
      <c r="B62" s="7">
        <v>5010104</v>
      </c>
      <c r="C62" s="7" t="s">
        <v>297</v>
      </c>
      <c r="D62" s="12"/>
    </row>
    <row r="63" spans="2:4" x14ac:dyDescent="0.25">
      <c r="B63" s="7">
        <v>5010105</v>
      </c>
      <c r="C63" s="7" t="s">
        <v>298</v>
      </c>
      <c r="D63" s="12"/>
    </row>
    <row r="64" spans="2:4" x14ac:dyDescent="0.25">
      <c r="B64" s="7">
        <v>5010106</v>
      </c>
      <c r="C64" s="7" t="s">
        <v>299</v>
      </c>
      <c r="D64" s="12"/>
    </row>
    <row r="65" spans="2:4" x14ac:dyDescent="0.25">
      <c r="B65" s="7">
        <v>5010107</v>
      </c>
      <c r="C65" s="7" t="s">
        <v>300</v>
      </c>
      <c r="D65" s="12"/>
    </row>
    <row r="66" spans="2:4" x14ac:dyDescent="0.25">
      <c r="B66" s="7">
        <v>5010108</v>
      </c>
      <c r="C66" s="7" t="s">
        <v>301</v>
      </c>
      <c r="D66" s="12"/>
    </row>
    <row r="67" spans="2:4" x14ac:dyDescent="0.25">
      <c r="B67" s="7">
        <v>5010109</v>
      </c>
      <c r="C67" s="7" t="s">
        <v>302</v>
      </c>
      <c r="D67" s="12"/>
    </row>
    <row r="68" spans="2:4" x14ac:dyDescent="0.25">
      <c r="B68" s="7">
        <v>5010110</v>
      </c>
      <c r="C68" s="7" t="s">
        <v>303</v>
      </c>
      <c r="D68" s="12"/>
    </row>
    <row r="69" spans="2:4" x14ac:dyDescent="0.25">
      <c r="B69" s="7">
        <v>5010111</v>
      </c>
      <c r="C69" s="7" t="s">
        <v>304</v>
      </c>
      <c r="D69" s="12"/>
    </row>
    <row r="70" spans="2:4" x14ac:dyDescent="0.25">
      <c r="B70" s="7">
        <v>5010112</v>
      </c>
      <c r="C70" s="7" t="s">
        <v>305</v>
      </c>
      <c r="D70" s="12"/>
    </row>
    <row r="71" spans="2:4" x14ac:dyDescent="0.25">
      <c r="B71" s="7">
        <v>50102</v>
      </c>
      <c r="C71" s="7" t="s">
        <v>306</v>
      </c>
      <c r="D71" s="11">
        <f>SUM(D72:D73)</f>
        <v>0</v>
      </c>
    </row>
    <row r="72" spans="2:4" x14ac:dyDescent="0.25">
      <c r="B72" s="7">
        <v>5010201</v>
      </c>
      <c r="C72" s="7" t="s">
        <v>307</v>
      </c>
      <c r="D72" s="12"/>
    </row>
    <row r="73" spans="2:4" x14ac:dyDescent="0.25">
      <c r="B73" s="7">
        <v>5010202</v>
      </c>
      <c r="C73" s="7" t="s">
        <v>308</v>
      </c>
      <c r="D73" s="12"/>
    </row>
    <row r="74" spans="2:4" x14ac:dyDescent="0.25">
      <c r="B74" s="7">
        <v>50103</v>
      </c>
      <c r="C74" s="7" t="s">
        <v>309</v>
      </c>
      <c r="D74" s="11">
        <f>SUM(D75:D76)</f>
        <v>0</v>
      </c>
    </row>
    <row r="75" spans="2:4" x14ac:dyDescent="0.25">
      <c r="B75" s="7">
        <v>5010301</v>
      </c>
      <c r="C75" s="7" t="s">
        <v>307</v>
      </c>
      <c r="D75" s="12"/>
    </row>
    <row r="76" spans="2:4" x14ac:dyDescent="0.25">
      <c r="B76" s="7">
        <v>5010302</v>
      </c>
      <c r="C76" s="7" t="s">
        <v>310</v>
      </c>
      <c r="D76" s="12"/>
    </row>
    <row r="77" spans="2:4" x14ac:dyDescent="0.25">
      <c r="B77" s="7">
        <v>50104</v>
      </c>
      <c r="C77" s="7" t="s">
        <v>311</v>
      </c>
      <c r="D77" s="11">
        <f>SUM(D78:D85)</f>
        <v>0</v>
      </c>
    </row>
    <row r="78" spans="2:4" x14ac:dyDescent="0.25">
      <c r="B78" s="7">
        <v>5010401</v>
      </c>
      <c r="C78" s="7" t="s">
        <v>312</v>
      </c>
      <c r="D78" s="12"/>
    </row>
    <row r="79" spans="2:4" x14ac:dyDescent="0.25">
      <c r="B79" s="7">
        <v>5010402</v>
      </c>
      <c r="C79" s="7" t="s">
        <v>313</v>
      </c>
      <c r="D79" s="12"/>
    </row>
    <row r="80" spans="2:4" x14ac:dyDescent="0.25">
      <c r="B80" s="7">
        <v>5010403</v>
      </c>
      <c r="C80" s="7" t="s">
        <v>314</v>
      </c>
      <c r="D80" s="12"/>
    </row>
    <row r="81" spans="2:4" x14ac:dyDescent="0.25">
      <c r="B81" s="7">
        <v>5010404</v>
      </c>
      <c r="C81" s="7" t="s">
        <v>315</v>
      </c>
      <c r="D81" s="12"/>
    </row>
    <row r="82" spans="2:4" x14ac:dyDescent="0.25">
      <c r="B82" s="7">
        <v>5010405</v>
      </c>
      <c r="C82" s="7" t="s">
        <v>316</v>
      </c>
      <c r="D82" s="12"/>
    </row>
    <row r="83" spans="2:4" x14ac:dyDescent="0.25">
      <c r="B83" s="7">
        <v>5010406</v>
      </c>
      <c r="C83" s="7" t="s">
        <v>317</v>
      </c>
      <c r="D83" s="12"/>
    </row>
    <row r="84" spans="2:4" x14ac:dyDescent="0.25">
      <c r="B84" s="7">
        <v>5010407</v>
      </c>
      <c r="C84" s="7" t="s">
        <v>318</v>
      </c>
      <c r="D84" s="12"/>
    </row>
    <row r="85" spans="2:4" x14ac:dyDescent="0.25">
      <c r="B85" s="7">
        <v>5010408</v>
      </c>
      <c r="C85" s="7" t="s">
        <v>319</v>
      </c>
      <c r="D85" s="12"/>
    </row>
    <row r="86" spans="2:4" x14ac:dyDescent="0.25">
      <c r="B86" s="7">
        <v>50105</v>
      </c>
      <c r="C86" s="7" t="s">
        <v>320</v>
      </c>
      <c r="D86" s="11">
        <f>+D87</f>
        <v>0</v>
      </c>
    </row>
    <row r="87" spans="2:4" x14ac:dyDescent="0.25">
      <c r="B87" s="7">
        <v>5010501</v>
      </c>
      <c r="C87" s="7" t="s">
        <v>321</v>
      </c>
      <c r="D87" s="12"/>
    </row>
    <row r="88" spans="2:4" x14ac:dyDescent="0.25">
      <c r="B88" s="7">
        <v>502</v>
      </c>
      <c r="C88" s="7" t="s">
        <v>322</v>
      </c>
      <c r="D88" s="11">
        <f>+D89+D133+D178+D217</f>
        <v>0</v>
      </c>
    </row>
    <row r="89" spans="2:4" x14ac:dyDescent="0.25">
      <c r="B89" s="7">
        <v>50201</v>
      </c>
      <c r="C89" s="7" t="s">
        <v>323</v>
      </c>
      <c r="D89" s="11">
        <f>SUM(D90:D109)+D113+D116+D124+D128+D129+D130+D131+D132</f>
        <v>0</v>
      </c>
    </row>
    <row r="90" spans="2:4" x14ac:dyDescent="0.25">
      <c r="B90" s="7">
        <v>5020101</v>
      </c>
      <c r="C90" s="7" t="s">
        <v>324</v>
      </c>
      <c r="D90" s="12"/>
    </row>
    <row r="91" spans="2:4" x14ac:dyDescent="0.25">
      <c r="B91" s="7">
        <v>5020102</v>
      </c>
      <c r="C91" s="7" t="s">
        <v>325</v>
      </c>
      <c r="D91" s="12"/>
    </row>
    <row r="92" spans="2:4" x14ac:dyDescent="0.25">
      <c r="B92" s="7">
        <v>5020103</v>
      </c>
      <c r="C92" s="7" t="s">
        <v>326</v>
      </c>
      <c r="D92" s="12"/>
    </row>
    <row r="93" spans="2:4" x14ac:dyDescent="0.25">
      <c r="B93" s="7">
        <v>5020104</v>
      </c>
      <c r="C93" s="7" t="s">
        <v>310</v>
      </c>
      <c r="D93" s="12"/>
    </row>
    <row r="94" spans="2:4" x14ac:dyDescent="0.25">
      <c r="B94" s="7">
        <v>5020105</v>
      </c>
      <c r="C94" s="7" t="s">
        <v>327</v>
      </c>
      <c r="D94" s="12"/>
    </row>
    <row r="95" spans="2:4" x14ac:dyDescent="0.25">
      <c r="B95" s="7">
        <v>5020106</v>
      </c>
      <c r="C95" s="7" t="s">
        <v>328</v>
      </c>
      <c r="D95" s="12"/>
    </row>
    <row r="96" spans="2:4" x14ac:dyDescent="0.25">
      <c r="B96" s="7">
        <v>5020107</v>
      </c>
      <c r="C96" s="7" t="s">
        <v>329</v>
      </c>
      <c r="D96" s="12"/>
    </row>
    <row r="97" spans="2:4" x14ac:dyDescent="0.25">
      <c r="B97" s="7">
        <v>5020108</v>
      </c>
      <c r="C97" s="7" t="s">
        <v>317</v>
      </c>
      <c r="D97" s="12"/>
    </row>
    <row r="98" spans="2:4" x14ac:dyDescent="0.25">
      <c r="B98" s="7">
        <v>5020109</v>
      </c>
      <c r="C98" s="7" t="s">
        <v>330</v>
      </c>
      <c r="D98" s="12"/>
    </row>
    <row r="99" spans="2:4" x14ac:dyDescent="0.25">
      <c r="B99" s="7">
        <v>5020110</v>
      </c>
      <c r="C99" s="7" t="s">
        <v>331</v>
      </c>
      <c r="D99" s="12"/>
    </row>
    <row r="100" spans="2:4" x14ac:dyDescent="0.25">
      <c r="B100" s="7">
        <v>5020111</v>
      </c>
      <c r="C100" s="7" t="s">
        <v>332</v>
      </c>
      <c r="D100" s="12"/>
    </row>
    <row r="101" spans="2:4" x14ac:dyDescent="0.25">
      <c r="B101" s="7">
        <v>5020112</v>
      </c>
      <c r="C101" s="7" t="s">
        <v>333</v>
      </c>
      <c r="D101" s="12"/>
    </row>
    <row r="102" spans="2:4" x14ac:dyDescent="0.25">
      <c r="B102" s="7">
        <v>5020113</v>
      </c>
      <c r="C102" s="7" t="s">
        <v>334</v>
      </c>
      <c r="D102" s="12"/>
    </row>
    <row r="103" spans="2:4" x14ac:dyDescent="0.25">
      <c r="B103" s="7">
        <v>5020114</v>
      </c>
      <c r="C103" s="7" t="s">
        <v>335</v>
      </c>
      <c r="D103" s="12"/>
    </row>
    <row r="104" spans="2:4" x14ac:dyDescent="0.25">
      <c r="B104" s="7">
        <v>5020115</v>
      </c>
      <c r="C104" s="7" t="s">
        <v>336</v>
      </c>
      <c r="D104" s="12"/>
    </row>
    <row r="105" spans="2:4" x14ac:dyDescent="0.25">
      <c r="B105" s="7">
        <v>5020116</v>
      </c>
      <c r="C105" s="7" t="s">
        <v>337</v>
      </c>
      <c r="D105" s="12"/>
    </row>
    <row r="106" spans="2:4" x14ac:dyDescent="0.25">
      <c r="B106" s="7">
        <v>5020117</v>
      </c>
      <c r="C106" s="7" t="s">
        <v>338</v>
      </c>
      <c r="D106" s="12"/>
    </row>
    <row r="107" spans="2:4" x14ac:dyDescent="0.25">
      <c r="B107" s="7">
        <v>5020118</v>
      </c>
      <c r="C107" s="7" t="s">
        <v>339</v>
      </c>
      <c r="D107" s="12"/>
    </row>
    <row r="108" spans="2:4" x14ac:dyDescent="0.25">
      <c r="B108" s="7">
        <v>5020119</v>
      </c>
      <c r="C108" s="7" t="s">
        <v>340</v>
      </c>
      <c r="D108" s="12"/>
    </row>
    <row r="109" spans="2:4" x14ac:dyDescent="0.25">
      <c r="B109" s="7">
        <v>5020120</v>
      </c>
      <c r="C109" s="7" t="s">
        <v>341</v>
      </c>
      <c r="D109" s="11">
        <f>SUM(D110:D112)</f>
        <v>0</v>
      </c>
    </row>
    <row r="110" spans="2:4" x14ac:dyDescent="0.25">
      <c r="B110" s="7">
        <v>502012001</v>
      </c>
      <c r="C110" s="7" t="s">
        <v>342</v>
      </c>
      <c r="D110" s="12"/>
    </row>
    <row r="111" spans="2:4" x14ac:dyDescent="0.25">
      <c r="B111" s="7">
        <v>502012002</v>
      </c>
      <c r="C111" s="7" t="s">
        <v>118</v>
      </c>
      <c r="D111" s="12"/>
    </row>
    <row r="112" spans="2:4" x14ac:dyDescent="0.25">
      <c r="B112" s="7">
        <v>502012003</v>
      </c>
      <c r="C112" s="7" t="s">
        <v>343</v>
      </c>
      <c r="D112" s="12"/>
    </row>
    <row r="113" spans="2:4" x14ac:dyDescent="0.25">
      <c r="B113" s="7">
        <v>5020121</v>
      </c>
      <c r="C113" s="7" t="s">
        <v>344</v>
      </c>
      <c r="D113" s="11">
        <f>SUM(D114:D115)</f>
        <v>0</v>
      </c>
    </row>
    <row r="114" spans="2:4" x14ac:dyDescent="0.25">
      <c r="B114" s="7">
        <v>502012101</v>
      </c>
      <c r="C114" s="7" t="s">
        <v>345</v>
      </c>
      <c r="D114" s="12"/>
    </row>
    <row r="115" spans="2:4" x14ac:dyDescent="0.25">
      <c r="B115" s="7">
        <v>502012102</v>
      </c>
      <c r="C115" s="7" t="s">
        <v>346</v>
      </c>
      <c r="D115" s="12"/>
    </row>
    <row r="116" spans="2:4" x14ac:dyDescent="0.25">
      <c r="B116" s="7">
        <v>5020122</v>
      </c>
      <c r="C116" s="7" t="s">
        <v>347</v>
      </c>
      <c r="D116" s="11">
        <f>SUM(D117:D123)</f>
        <v>0</v>
      </c>
    </row>
    <row r="117" spans="2:4" x14ac:dyDescent="0.25">
      <c r="B117" s="7">
        <v>502012201</v>
      </c>
      <c r="C117" s="7" t="s">
        <v>342</v>
      </c>
      <c r="D117" s="12"/>
    </row>
    <row r="118" spans="2:4" x14ac:dyDescent="0.25">
      <c r="B118" s="7">
        <v>502012202</v>
      </c>
      <c r="C118" s="7" t="s">
        <v>74</v>
      </c>
      <c r="D118" s="12"/>
    </row>
    <row r="119" spans="2:4" x14ac:dyDescent="0.25">
      <c r="B119" s="7">
        <v>502012203</v>
      </c>
      <c r="C119" s="7" t="s">
        <v>348</v>
      </c>
      <c r="D119" s="12"/>
    </row>
    <row r="120" spans="2:4" x14ac:dyDescent="0.25">
      <c r="B120" s="7">
        <v>502012204</v>
      </c>
      <c r="C120" s="7" t="s">
        <v>345</v>
      </c>
      <c r="D120" s="12"/>
    </row>
    <row r="121" spans="2:4" x14ac:dyDescent="0.25">
      <c r="B121" s="7">
        <v>502012205</v>
      </c>
      <c r="C121" s="7" t="s">
        <v>349</v>
      </c>
      <c r="D121" s="12"/>
    </row>
    <row r="122" spans="2:4" x14ac:dyDescent="0.25">
      <c r="B122" s="7">
        <v>502012206</v>
      </c>
      <c r="C122" s="7" t="s">
        <v>346</v>
      </c>
      <c r="D122" s="12"/>
    </row>
    <row r="123" spans="2:4" x14ac:dyDescent="0.25">
      <c r="B123" s="7">
        <v>502012207</v>
      </c>
      <c r="C123" s="7" t="s">
        <v>350</v>
      </c>
      <c r="D123" s="12"/>
    </row>
    <row r="124" spans="2:4" x14ac:dyDescent="0.25">
      <c r="B124" s="7">
        <v>5020123</v>
      </c>
      <c r="C124" s="7" t="s">
        <v>351</v>
      </c>
      <c r="D124" s="11">
        <f>SUM(D125:D127)</f>
        <v>0</v>
      </c>
    </row>
    <row r="125" spans="2:4" x14ac:dyDescent="0.25">
      <c r="B125" s="7">
        <v>502012301</v>
      </c>
      <c r="C125" s="7" t="s">
        <v>352</v>
      </c>
      <c r="D125" s="12"/>
    </row>
    <row r="126" spans="2:4" x14ac:dyDescent="0.25">
      <c r="B126" s="7">
        <v>502012302</v>
      </c>
      <c r="C126" s="7" t="s">
        <v>353</v>
      </c>
      <c r="D126" s="12"/>
    </row>
    <row r="127" spans="2:4" x14ac:dyDescent="0.25">
      <c r="B127" s="7">
        <v>502012303</v>
      </c>
      <c r="C127" s="7" t="s">
        <v>354</v>
      </c>
      <c r="D127" s="12"/>
    </row>
    <row r="128" spans="2:4" x14ac:dyDescent="0.25">
      <c r="B128" s="7">
        <v>5020124</v>
      </c>
      <c r="C128" s="7" t="s">
        <v>355</v>
      </c>
      <c r="D128" s="12"/>
    </row>
    <row r="129" spans="2:4" x14ac:dyDescent="0.25">
      <c r="B129" s="7">
        <v>5020125</v>
      </c>
      <c r="C129" s="7" t="s">
        <v>356</v>
      </c>
      <c r="D129" s="12"/>
    </row>
    <row r="130" spans="2:4" x14ac:dyDescent="0.25">
      <c r="B130" s="7">
        <v>5020126</v>
      </c>
      <c r="C130" s="7" t="s">
        <v>357</v>
      </c>
      <c r="D130" s="12"/>
    </row>
    <row r="131" spans="2:4" x14ac:dyDescent="0.25">
      <c r="B131" s="7">
        <v>5020127</v>
      </c>
      <c r="C131" s="7" t="s">
        <v>358</v>
      </c>
      <c r="D131" s="12"/>
    </row>
    <row r="132" spans="2:4" x14ac:dyDescent="0.25">
      <c r="B132" s="7">
        <v>5020128</v>
      </c>
      <c r="C132" s="7" t="s">
        <v>359</v>
      </c>
      <c r="D132" s="12"/>
    </row>
    <row r="133" spans="2:4" x14ac:dyDescent="0.25">
      <c r="B133" s="7">
        <v>50202</v>
      </c>
      <c r="C133" s="7" t="s">
        <v>360</v>
      </c>
      <c r="D133" s="11">
        <f>SUM(D134:D154)+D158+D161+D169+SUM(D173:D177)</f>
        <v>0</v>
      </c>
    </row>
    <row r="134" spans="2:4" x14ac:dyDescent="0.25">
      <c r="B134" s="7">
        <v>5020201</v>
      </c>
      <c r="C134" s="7" t="s">
        <v>324</v>
      </c>
      <c r="D134" s="12"/>
    </row>
    <row r="135" spans="2:4" x14ac:dyDescent="0.25">
      <c r="B135" s="7">
        <v>5020202</v>
      </c>
      <c r="C135" s="7" t="s">
        <v>325</v>
      </c>
      <c r="D135" s="12"/>
    </row>
    <row r="136" spans="2:4" x14ac:dyDescent="0.25">
      <c r="B136" s="7">
        <v>5020203</v>
      </c>
      <c r="C136" s="7" t="s">
        <v>326</v>
      </c>
      <c r="D136" s="12"/>
    </row>
    <row r="137" spans="2:4" x14ac:dyDescent="0.25">
      <c r="B137" s="7">
        <v>5020204</v>
      </c>
      <c r="C137" s="7" t="s">
        <v>310</v>
      </c>
      <c r="D137" s="12"/>
    </row>
    <row r="138" spans="2:4" x14ac:dyDescent="0.25">
      <c r="B138" s="7">
        <v>5020205</v>
      </c>
      <c r="C138" s="7" t="s">
        <v>327</v>
      </c>
      <c r="D138" s="12"/>
    </row>
    <row r="139" spans="2:4" x14ac:dyDescent="0.25">
      <c r="B139" s="7">
        <v>5020206</v>
      </c>
      <c r="C139" s="7" t="s">
        <v>328</v>
      </c>
      <c r="D139" s="12"/>
    </row>
    <row r="140" spans="2:4" x14ac:dyDescent="0.25">
      <c r="B140" s="7">
        <v>5020207</v>
      </c>
      <c r="C140" s="7" t="s">
        <v>329</v>
      </c>
      <c r="D140" s="12"/>
    </row>
    <row r="141" spans="2:4" x14ac:dyDescent="0.25">
      <c r="B141" s="7">
        <v>5020208</v>
      </c>
      <c r="C141" s="7" t="s">
        <v>317</v>
      </c>
      <c r="D141" s="12"/>
    </row>
    <row r="142" spans="2:4" x14ac:dyDescent="0.25">
      <c r="B142" s="7">
        <v>5020209</v>
      </c>
      <c r="C142" s="7" t="s">
        <v>330</v>
      </c>
      <c r="D142" s="12"/>
    </row>
    <row r="143" spans="2:4" x14ac:dyDescent="0.25">
      <c r="B143" s="7">
        <v>5020210</v>
      </c>
      <c r="C143" s="7" t="s">
        <v>331</v>
      </c>
      <c r="D143" s="12"/>
    </row>
    <row r="144" spans="2:4" x14ac:dyDescent="0.25">
      <c r="B144" s="7">
        <v>5020211</v>
      </c>
      <c r="C144" s="7" t="s">
        <v>332</v>
      </c>
      <c r="D144" s="12"/>
    </row>
    <row r="145" spans="2:4" x14ac:dyDescent="0.25">
      <c r="B145" s="7">
        <v>5020212</v>
      </c>
      <c r="C145" s="7" t="s">
        <v>333</v>
      </c>
      <c r="D145" s="12"/>
    </row>
    <row r="146" spans="2:4" x14ac:dyDescent="0.25">
      <c r="B146" s="7">
        <v>5020213</v>
      </c>
      <c r="C146" s="7" t="s">
        <v>334</v>
      </c>
      <c r="D146" s="12"/>
    </row>
    <row r="147" spans="2:4" x14ac:dyDescent="0.25">
      <c r="B147" s="7">
        <v>5020214</v>
      </c>
      <c r="C147" s="7" t="s">
        <v>335</v>
      </c>
      <c r="D147" s="12"/>
    </row>
    <row r="148" spans="2:4" x14ac:dyDescent="0.25">
      <c r="B148" s="7">
        <v>5020215</v>
      </c>
      <c r="C148" s="7" t="s">
        <v>336</v>
      </c>
      <c r="D148" s="12"/>
    </row>
    <row r="149" spans="2:4" x14ac:dyDescent="0.25">
      <c r="B149" s="7">
        <v>5020216</v>
      </c>
      <c r="C149" s="7" t="s">
        <v>337</v>
      </c>
      <c r="D149" s="12"/>
    </row>
    <row r="150" spans="2:4" x14ac:dyDescent="0.25">
      <c r="B150" s="7">
        <v>5020217</v>
      </c>
      <c r="C150" s="7" t="s">
        <v>338</v>
      </c>
      <c r="D150" s="12"/>
    </row>
    <row r="151" spans="2:4" x14ac:dyDescent="0.25">
      <c r="B151" s="7">
        <v>5020218</v>
      </c>
      <c r="C151" s="7" t="s">
        <v>339</v>
      </c>
      <c r="D151" s="12"/>
    </row>
    <row r="152" spans="2:4" x14ac:dyDescent="0.25">
      <c r="B152" s="7">
        <v>5020219</v>
      </c>
      <c r="C152" s="7" t="s">
        <v>340</v>
      </c>
      <c r="D152" s="12"/>
    </row>
    <row r="153" spans="2:4" x14ac:dyDescent="0.25">
      <c r="B153" s="7">
        <v>5020220</v>
      </c>
      <c r="C153" s="7" t="s">
        <v>361</v>
      </c>
      <c r="D153" s="12"/>
    </row>
    <row r="154" spans="2:4" x14ac:dyDescent="0.25">
      <c r="B154" s="7">
        <v>5020221</v>
      </c>
      <c r="C154" s="7" t="s">
        <v>362</v>
      </c>
      <c r="D154" s="11">
        <f>SUM(D155:D157)</f>
        <v>0</v>
      </c>
    </row>
    <row r="155" spans="2:4" x14ac:dyDescent="0.25">
      <c r="B155" s="7">
        <v>502022101</v>
      </c>
      <c r="C155" s="7" t="s">
        <v>342</v>
      </c>
      <c r="D155" s="12"/>
    </row>
    <row r="156" spans="2:4" x14ac:dyDescent="0.25">
      <c r="B156" s="7">
        <v>502022102</v>
      </c>
      <c r="C156" s="7" t="s">
        <v>118</v>
      </c>
      <c r="D156" s="12"/>
    </row>
    <row r="157" spans="2:4" x14ac:dyDescent="0.25">
      <c r="B157" s="7">
        <v>502022103</v>
      </c>
      <c r="C157" s="7" t="s">
        <v>343</v>
      </c>
      <c r="D157" s="12"/>
    </row>
    <row r="158" spans="2:4" x14ac:dyDescent="0.25">
      <c r="B158" s="7">
        <v>5020222</v>
      </c>
      <c r="C158" s="7" t="s">
        <v>344</v>
      </c>
      <c r="D158" s="11">
        <f>SUM(D159:D160)</f>
        <v>0</v>
      </c>
    </row>
    <row r="159" spans="2:4" x14ac:dyDescent="0.25">
      <c r="B159" s="7">
        <v>502022201</v>
      </c>
      <c r="C159" s="7" t="s">
        <v>345</v>
      </c>
      <c r="D159" s="12"/>
    </row>
    <row r="160" spans="2:4" x14ac:dyDescent="0.25">
      <c r="B160" s="7">
        <v>502022202</v>
      </c>
      <c r="C160" s="7" t="s">
        <v>346</v>
      </c>
      <c r="D160" s="12"/>
    </row>
    <row r="161" spans="2:4" x14ac:dyDescent="0.25">
      <c r="B161" s="7">
        <v>5020223</v>
      </c>
      <c r="C161" s="7" t="s">
        <v>363</v>
      </c>
      <c r="D161" s="11">
        <f>SUM(D162:D168)</f>
        <v>0</v>
      </c>
    </row>
    <row r="162" spans="2:4" x14ac:dyDescent="0.25">
      <c r="B162" s="7">
        <v>502022301</v>
      </c>
      <c r="C162" s="7" t="s">
        <v>342</v>
      </c>
      <c r="D162" s="12"/>
    </row>
    <row r="163" spans="2:4" x14ac:dyDescent="0.25">
      <c r="B163" s="7">
        <v>502022302</v>
      </c>
      <c r="C163" s="7" t="s">
        <v>74</v>
      </c>
      <c r="D163" s="12"/>
    </row>
    <row r="164" spans="2:4" x14ac:dyDescent="0.25">
      <c r="B164" s="7">
        <v>502022303</v>
      </c>
      <c r="C164" s="7" t="s">
        <v>348</v>
      </c>
      <c r="D164" s="12"/>
    </row>
    <row r="165" spans="2:4" x14ac:dyDescent="0.25">
      <c r="B165" s="7">
        <v>502022304</v>
      </c>
      <c r="C165" s="7" t="s">
        <v>345</v>
      </c>
      <c r="D165" s="12"/>
    </row>
    <row r="166" spans="2:4" x14ac:dyDescent="0.25">
      <c r="B166" s="7">
        <v>502022305</v>
      </c>
      <c r="C166" s="7" t="s">
        <v>349</v>
      </c>
      <c r="D166" s="12"/>
    </row>
    <row r="167" spans="2:4" x14ac:dyDescent="0.25">
      <c r="B167" s="7">
        <v>502022306</v>
      </c>
      <c r="C167" s="7" t="s">
        <v>346</v>
      </c>
      <c r="D167" s="12"/>
    </row>
    <row r="168" spans="2:4" x14ac:dyDescent="0.25">
      <c r="B168" s="7">
        <v>502022307</v>
      </c>
      <c r="C168" s="7" t="s">
        <v>350</v>
      </c>
      <c r="D168" s="12"/>
    </row>
    <row r="169" spans="2:4" x14ac:dyDescent="0.25">
      <c r="B169" s="7">
        <v>5020224</v>
      </c>
      <c r="C169" s="7" t="s">
        <v>364</v>
      </c>
      <c r="D169" s="11">
        <f>SUM(D170:D172)</f>
        <v>0</v>
      </c>
    </row>
    <row r="170" spans="2:4" x14ac:dyDescent="0.25">
      <c r="B170" s="7">
        <v>502022401</v>
      </c>
      <c r="C170" s="7" t="s">
        <v>352</v>
      </c>
      <c r="D170" s="12"/>
    </row>
    <row r="171" spans="2:4" x14ac:dyDescent="0.25">
      <c r="B171" s="7">
        <v>502022402</v>
      </c>
      <c r="C171" s="7" t="s">
        <v>353</v>
      </c>
      <c r="D171" s="12"/>
    </row>
    <row r="172" spans="2:4" x14ac:dyDescent="0.25">
      <c r="B172" s="7">
        <v>502022403</v>
      </c>
      <c r="C172" s="7" t="s">
        <v>354</v>
      </c>
      <c r="D172" s="12"/>
    </row>
    <row r="173" spans="2:4" x14ac:dyDescent="0.25">
      <c r="B173" s="7">
        <v>5020225</v>
      </c>
      <c r="C173" s="7" t="s">
        <v>355</v>
      </c>
      <c r="D173" s="12"/>
    </row>
    <row r="174" spans="2:4" x14ac:dyDescent="0.25">
      <c r="B174" s="7">
        <v>5020226</v>
      </c>
      <c r="C174" s="7" t="s">
        <v>356</v>
      </c>
      <c r="D174" s="12"/>
    </row>
    <row r="175" spans="2:4" x14ac:dyDescent="0.25">
      <c r="B175" s="7">
        <v>5020227</v>
      </c>
      <c r="C175" s="7" t="s">
        <v>357</v>
      </c>
      <c r="D175" s="12"/>
    </row>
    <row r="176" spans="2:4" x14ac:dyDescent="0.25">
      <c r="B176" s="7">
        <v>5020228</v>
      </c>
      <c r="C176" s="7" t="s">
        <v>358</v>
      </c>
      <c r="D176" s="12"/>
    </row>
    <row r="177" spans="2:4" x14ac:dyDescent="0.25">
      <c r="B177" s="7">
        <v>5020229</v>
      </c>
      <c r="C177" s="7" t="s">
        <v>359</v>
      </c>
      <c r="D177" s="12"/>
    </row>
    <row r="178" spans="2:4" x14ac:dyDescent="0.25">
      <c r="B178" s="7">
        <v>50203</v>
      </c>
      <c r="C178" s="7" t="s">
        <v>365</v>
      </c>
      <c r="D178" s="11">
        <f>+D179+D184+D191+D200+D205+D210+D211+D212+D213+D214+D215+D216</f>
        <v>0</v>
      </c>
    </row>
    <row r="179" spans="2:4" x14ac:dyDescent="0.25">
      <c r="B179" s="7">
        <v>5020301</v>
      </c>
      <c r="C179" s="7" t="s">
        <v>252</v>
      </c>
      <c r="D179" s="11">
        <f>SUM(D180:D183)</f>
        <v>0</v>
      </c>
    </row>
    <row r="180" spans="2:4" x14ac:dyDescent="0.25">
      <c r="B180" s="7">
        <v>502030101</v>
      </c>
      <c r="C180" s="7" t="s">
        <v>366</v>
      </c>
      <c r="D180" s="12"/>
    </row>
    <row r="181" spans="2:4" x14ac:dyDescent="0.25">
      <c r="B181" s="7">
        <v>502030102</v>
      </c>
      <c r="C181" s="7" t="s">
        <v>367</v>
      </c>
      <c r="D181" s="12"/>
    </row>
    <row r="182" spans="2:4" x14ac:dyDescent="0.25">
      <c r="B182" s="7">
        <v>502030103</v>
      </c>
      <c r="C182" s="7" t="s">
        <v>368</v>
      </c>
      <c r="D182" s="12"/>
    </row>
    <row r="183" spans="2:4" x14ac:dyDescent="0.25">
      <c r="B183" s="7">
        <v>502030104</v>
      </c>
      <c r="C183" s="7" t="s">
        <v>369</v>
      </c>
      <c r="D183" s="12"/>
    </row>
    <row r="184" spans="2:4" x14ac:dyDescent="0.25">
      <c r="B184" s="7">
        <v>5020302</v>
      </c>
      <c r="C184" s="7" t="s">
        <v>331</v>
      </c>
      <c r="D184" s="11">
        <f>+D185</f>
        <v>0</v>
      </c>
    </row>
    <row r="185" spans="2:4" x14ac:dyDescent="0.25">
      <c r="B185" s="7">
        <v>502030201</v>
      </c>
      <c r="C185" s="7" t="s">
        <v>370</v>
      </c>
      <c r="D185" s="11">
        <f>SUM(D186:D190)</f>
        <v>0</v>
      </c>
    </row>
    <row r="186" spans="2:4" x14ac:dyDescent="0.25">
      <c r="B186" s="7">
        <v>50203020101</v>
      </c>
      <c r="C186" s="7" t="s">
        <v>260</v>
      </c>
      <c r="D186" s="12"/>
    </row>
    <row r="187" spans="2:4" x14ac:dyDescent="0.25">
      <c r="B187" s="7">
        <v>50203020103</v>
      </c>
      <c r="C187" s="7" t="s">
        <v>200</v>
      </c>
      <c r="D187" s="12"/>
    </row>
    <row r="188" spans="2:4" x14ac:dyDescent="0.25">
      <c r="B188" s="7">
        <v>50203020104</v>
      </c>
      <c r="C188" s="7" t="s">
        <v>261</v>
      </c>
      <c r="D188" s="12"/>
    </row>
    <row r="189" spans="2:4" x14ac:dyDescent="0.25">
      <c r="B189" s="7">
        <v>50203020105</v>
      </c>
      <c r="C189" s="7" t="s">
        <v>262</v>
      </c>
      <c r="D189" s="12"/>
    </row>
    <row r="190" spans="2:4" x14ac:dyDescent="0.25">
      <c r="B190" s="7">
        <v>50203020106</v>
      </c>
      <c r="C190" s="7" t="s">
        <v>263</v>
      </c>
      <c r="D190" s="12"/>
    </row>
    <row r="191" spans="2:4" x14ac:dyDescent="0.25">
      <c r="B191" s="7">
        <v>5020303</v>
      </c>
      <c r="C191" s="7" t="s">
        <v>264</v>
      </c>
      <c r="D191" s="11">
        <f>SUM(D192:D199)</f>
        <v>0</v>
      </c>
    </row>
    <row r="192" spans="2:4" x14ac:dyDescent="0.25">
      <c r="B192" s="7">
        <v>502030301</v>
      </c>
      <c r="C192" s="7" t="s">
        <v>265</v>
      </c>
      <c r="D192" s="12"/>
    </row>
    <row r="193" spans="2:4" x14ac:dyDescent="0.25">
      <c r="B193" s="7">
        <v>502030302</v>
      </c>
      <c r="C193" s="7" t="s">
        <v>266</v>
      </c>
      <c r="D193" s="12"/>
    </row>
    <row r="194" spans="2:4" x14ac:dyDescent="0.25">
      <c r="B194" s="7">
        <v>502030303</v>
      </c>
      <c r="C194" s="7" t="s">
        <v>267</v>
      </c>
      <c r="D194" s="12"/>
    </row>
    <row r="195" spans="2:4" x14ac:dyDescent="0.25">
      <c r="B195" s="7">
        <v>502030304</v>
      </c>
      <c r="C195" s="7" t="s">
        <v>268</v>
      </c>
      <c r="D195" s="12"/>
    </row>
    <row r="196" spans="2:4" x14ac:dyDescent="0.25">
      <c r="B196" s="7">
        <v>502030305</v>
      </c>
      <c r="C196" s="7" t="s">
        <v>269</v>
      </c>
      <c r="D196" s="12"/>
    </row>
    <row r="197" spans="2:4" x14ac:dyDescent="0.25">
      <c r="B197" s="7">
        <v>502030306</v>
      </c>
      <c r="C197" s="7" t="s">
        <v>270</v>
      </c>
      <c r="D197" s="12"/>
    </row>
    <row r="198" spans="2:4" x14ac:dyDescent="0.25">
      <c r="B198" s="7">
        <v>502030307</v>
      </c>
      <c r="C198" s="7" t="s">
        <v>271</v>
      </c>
      <c r="D198" s="12"/>
    </row>
    <row r="199" spans="2:4" x14ac:dyDescent="0.25">
      <c r="B199" s="7">
        <v>502030308</v>
      </c>
      <c r="C199" s="7" t="s">
        <v>272</v>
      </c>
      <c r="D199" s="12"/>
    </row>
    <row r="200" spans="2:4" x14ac:dyDescent="0.25">
      <c r="B200" s="7">
        <v>5020304</v>
      </c>
      <c r="C200" s="7" t="s">
        <v>273</v>
      </c>
      <c r="D200" s="11">
        <f>SUM(D201:D204)</f>
        <v>0</v>
      </c>
    </row>
    <row r="201" spans="2:4" x14ac:dyDescent="0.25">
      <c r="B201" s="7">
        <v>502030401</v>
      </c>
      <c r="C201" s="7" t="s">
        <v>274</v>
      </c>
      <c r="D201" s="12"/>
    </row>
    <row r="202" spans="2:4" x14ac:dyDescent="0.25">
      <c r="B202" s="7">
        <v>502030402</v>
      </c>
      <c r="C202" s="7" t="s">
        <v>275</v>
      </c>
      <c r="D202" s="12"/>
    </row>
    <row r="203" spans="2:4" x14ac:dyDescent="0.25">
      <c r="B203" s="7">
        <v>502030403</v>
      </c>
      <c r="C203" s="7" t="s">
        <v>276</v>
      </c>
      <c r="D203" s="12"/>
    </row>
    <row r="204" spans="2:4" x14ac:dyDescent="0.25">
      <c r="B204" s="7">
        <v>502030404</v>
      </c>
      <c r="C204" s="7" t="s">
        <v>16</v>
      </c>
      <c r="D204" s="12"/>
    </row>
    <row r="205" spans="2:4" x14ac:dyDescent="0.25">
      <c r="B205" s="7">
        <v>5020305</v>
      </c>
      <c r="C205" s="7" t="s">
        <v>371</v>
      </c>
      <c r="D205" s="11">
        <f>SUM(D206:D209)</f>
        <v>0</v>
      </c>
    </row>
    <row r="206" spans="2:4" x14ac:dyDescent="0.25">
      <c r="B206" s="7">
        <v>502030501</v>
      </c>
      <c r="C206" s="7" t="s">
        <v>372</v>
      </c>
      <c r="D206" s="12"/>
    </row>
    <row r="207" spans="2:4" x14ac:dyDescent="0.25">
      <c r="B207" s="7">
        <v>502030502</v>
      </c>
      <c r="C207" s="7" t="s">
        <v>373</v>
      </c>
      <c r="D207" s="12"/>
    </row>
    <row r="208" spans="2:4" x14ac:dyDescent="0.25">
      <c r="B208" s="7">
        <v>502030503</v>
      </c>
      <c r="C208" s="7" t="s">
        <v>374</v>
      </c>
      <c r="D208" s="12"/>
    </row>
    <row r="209" spans="2:4" x14ac:dyDescent="0.25">
      <c r="B209" s="7">
        <v>502030504</v>
      </c>
      <c r="C209" s="7" t="s">
        <v>16</v>
      </c>
      <c r="D209" s="12"/>
    </row>
    <row r="210" spans="2:4" x14ac:dyDescent="0.25">
      <c r="B210" s="7">
        <v>5020306</v>
      </c>
      <c r="C210" s="7" t="s">
        <v>375</v>
      </c>
      <c r="D210" s="12"/>
    </row>
    <row r="211" spans="2:4" x14ac:dyDescent="0.25">
      <c r="B211" s="7">
        <v>5020307</v>
      </c>
      <c r="C211" s="7" t="s">
        <v>376</v>
      </c>
      <c r="D211" s="12"/>
    </row>
    <row r="212" spans="2:4" x14ac:dyDescent="0.25">
      <c r="B212" s="7">
        <v>5020308</v>
      </c>
      <c r="C212" s="7" t="s">
        <v>280</v>
      </c>
      <c r="D212" s="12"/>
    </row>
    <row r="213" spans="2:4" x14ac:dyDescent="0.25">
      <c r="B213" s="7">
        <v>5020309</v>
      </c>
      <c r="C213" s="7" t="s">
        <v>377</v>
      </c>
      <c r="D213" s="12"/>
    </row>
    <row r="214" spans="2:4" x14ac:dyDescent="0.25">
      <c r="B214" s="7">
        <v>5020310</v>
      </c>
      <c r="C214" s="7" t="s">
        <v>378</v>
      </c>
      <c r="D214" s="12"/>
    </row>
    <row r="215" spans="2:4" x14ac:dyDescent="0.25">
      <c r="B215" s="7">
        <v>5020311</v>
      </c>
      <c r="C215" s="7" t="s">
        <v>379</v>
      </c>
      <c r="D215" s="12"/>
    </row>
    <row r="216" spans="2:4" x14ac:dyDescent="0.25">
      <c r="B216" s="7">
        <v>5020312</v>
      </c>
      <c r="C216" s="7" t="s">
        <v>380</v>
      </c>
      <c r="D216" s="12"/>
    </row>
    <row r="217" spans="2:4" x14ac:dyDescent="0.25">
      <c r="B217" s="7">
        <v>50204</v>
      </c>
      <c r="C217" s="7" t="s">
        <v>359</v>
      </c>
      <c r="D217" s="11">
        <f>SUM(D218:D219)</f>
        <v>0</v>
      </c>
    </row>
    <row r="218" spans="2:4" x14ac:dyDescent="0.25">
      <c r="B218" s="7">
        <v>5020401</v>
      </c>
      <c r="C218" s="7" t="s">
        <v>381</v>
      </c>
      <c r="D218" s="12"/>
    </row>
    <row r="219" spans="2:4" x14ac:dyDescent="0.25">
      <c r="B219" s="7">
        <v>5020402</v>
      </c>
      <c r="C219" s="7" t="s">
        <v>16</v>
      </c>
      <c r="D219" s="12"/>
    </row>
    <row r="220" spans="2:4" x14ac:dyDescent="0.25">
      <c r="B220" s="7">
        <v>600</v>
      </c>
      <c r="C220" s="7" t="s">
        <v>382</v>
      </c>
      <c r="D220" s="11">
        <f>+D52+D53-D88</f>
        <v>0</v>
      </c>
    </row>
    <row r="221" spans="2:4" x14ac:dyDescent="0.25">
      <c r="B221" s="7">
        <v>601</v>
      </c>
      <c r="C221" s="7" t="s">
        <v>383</v>
      </c>
      <c r="D221" s="12"/>
    </row>
    <row r="222" spans="2:4" x14ac:dyDescent="0.25">
      <c r="B222" s="7">
        <v>602</v>
      </c>
      <c r="C222" s="7" t="s">
        <v>384</v>
      </c>
      <c r="D222" s="12"/>
    </row>
    <row r="223" spans="2:4" x14ac:dyDescent="0.25">
      <c r="B223" s="7">
        <v>603</v>
      </c>
      <c r="C223" s="7" t="s">
        <v>385</v>
      </c>
      <c r="D223" s="12"/>
    </row>
    <row r="224" spans="2:4" x14ac:dyDescent="0.25">
      <c r="B224" s="7">
        <v>604</v>
      </c>
      <c r="C224" s="7" t="s">
        <v>386</v>
      </c>
      <c r="D224" s="12"/>
    </row>
    <row r="225" spans="2:4" x14ac:dyDescent="0.25">
      <c r="B225" s="7">
        <v>605</v>
      </c>
      <c r="C225" s="7" t="s">
        <v>387</v>
      </c>
      <c r="D225" s="12"/>
    </row>
    <row r="226" spans="2:4" x14ac:dyDescent="0.25">
      <c r="B226" s="7">
        <v>606</v>
      </c>
      <c r="C226" s="7" t="s">
        <v>388</v>
      </c>
      <c r="D226" s="12"/>
    </row>
    <row r="227" spans="2:4" x14ac:dyDescent="0.25">
      <c r="B227" s="7">
        <v>607</v>
      </c>
      <c r="C227" s="7" t="s">
        <v>389</v>
      </c>
      <c r="D227" s="12"/>
    </row>
    <row r="228" spans="2:4" x14ac:dyDescent="0.25">
      <c r="B228" s="7">
        <v>700</v>
      </c>
      <c r="C228" s="7" t="s">
        <v>390</v>
      </c>
      <c r="D228" s="12"/>
    </row>
    <row r="229" spans="2:4" x14ac:dyDescent="0.25">
      <c r="B229" s="7">
        <v>701</v>
      </c>
      <c r="C229" s="7" t="s">
        <v>391</v>
      </c>
      <c r="D229" s="12"/>
    </row>
    <row r="230" spans="2:4" x14ac:dyDescent="0.25">
      <c r="B230" s="7">
        <v>702</v>
      </c>
      <c r="C230" s="7" t="s">
        <v>392</v>
      </c>
      <c r="D230" s="12"/>
    </row>
    <row r="231" spans="2:4" x14ac:dyDescent="0.25">
      <c r="B231" s="7">
        <v>703</v>
      </c>
      <c r="C231" s="7" t="s">
        <v>383</v>
      </c>
      <c r="D231" s="12"/>
    </row>
    <row r="232" spans="2:4" x14ac:dyDescent="0.25">
      <c r="B232" s="7">
        <v>704</v>
      </c>
      <c r="C232" s="7" t="s">
        <v>393</v>
      </c>
      <c r="D232" s="12"/>
    </row>
    <row r="233" spans="2:4" x14ac:dyDescent="0.25">
      <c r="B233" s="7">
        <v>705</v>
      </c>
      <c r="C233" s="7" t="s">
        <v>385</v>
      </c>
      <c r="D233" s="12"/>
    </row>
    <row r="234" spans="2:4" x14ac:dyDescent="0.25">
      <c r="B234" s="7">
        <v>706</v>
      </c>
      <c r="C234" s="7" t="s">
        <v>394</v>
      </c>
      <c r="D234" s="12"/>
    </row>
    <row r="235" spans="2:4" x14ac:dyDescent="0.25">
      <c r="B235" s="7">
        <v>707</v>
      </c>
      <c r="C235" s="7" t="s">
        <v>395</v>
      </c>
      <c r="D235" s="12">
        <f>+ESF!D376</f>
        <v>0</v>
      </c>
    </row>
    <row r="236" spans="2:4" x14ac:dyDescent="0.25">
      <c r="B236" s="7">
        <v>800</v>
      </c>
      <c r="C236" s="7" t="s">
        <v>396</v>
      </c>
      <c r="D236" s="12"/>
    </row>
    <row r="237" spans="2:4" x14ac:dyDescent="0.25">
      <c r="B237" s="7">
        <v>80001</v>
      </c>
      <c r="C237" s="7" t="s">
        <v>397</v>
      </c>
      <c r="D237" s="12"/>
    </row>
    <row r="238" spans="2:4" x14ac:dyDescent="0.25">
      <c r="B238" s="7">
        <v>80002</v>
      </c>
      <c r="C238" s="7" t="s">
        <v>398</v>
      </c>
      <c r="D238" s="12"/>
    </row>
    <row r="239" spans="2:4" x14ac:dyDescent="0.25">
      <c r="B239" s="7">
        <v>80003</v>
      </c>
      <c r="C239" s="7" t="s">
        <v>399</v>
      </c>
      <c r="D239" s="12"/>
    </row>
    <row r="240" spans="2:4" x14ac:dyDescent="0.25">
      <c r="B240" s="7">
        <v>80004</v>
      </c>
      <c r="C240" s="7" t="s">
        <v>400</v>
      </c>
      <c r="D240" s="12"/>
    </row>
    <row r="241" spans="2:4" x14ac:dyDescent="0.25">
      <c r="B241" s="7">
        <v>80005</v>
      </c>
      <c r="C241" s="7" t="s">
        <v>401</v>
      </c>
      <c r="D241" s="12"/>
    </row>
    <row r="242" spans="2:4" x14ac:dyDescent="0.25">
      <c r="B242" s="7">
        <v>80006</v>
      </c>
      <c r="C242" s="7" t="s">
        <v>402</v>
      </c>
      <c r="D242" s="12"/>
    </row>
    <row r="243" spans="2:4" x14ac:dyDescent="0.25">
      <c r="B243" s="7">
        <v>80007</v>
      </c>
      <c r="C243" s="7" t="s">
        <v>403</v>
      </c>
      <c r="D243" s="12"/>
    </row>
    <row r="244" spans="2:4" x14ac:dyDescent="0.25">
      <c r="B244" s="7">
        <v>80008</v>
      </c>
      <c r="C244" s="7" t="s">
        <v>404</v>
      </c>
      <c r="D244" s="12"/>
    </row>
    <row r="245" spans="2:4" x14ac:dyDescent="0.25">
      <c r="B245" s="7">
        <v>80009</v>
      </c>
      <c r="C245" s="7" t="s">
        <v>405</v>
      </c>
      <c r="D245" s="12"/>
    </row>
    <row r="246" spans="2:4" x14ac:dyDescent="0.25">
      <c r="B246" s="7">
        <v>801</v>
      </c>
      <c r="C246" s="7" t="s">
        <v>406</v>
      </c>
      <c r="D246" s="12">
        <f>+ESF!D376</f>
        <v>0</v>
      </c>
    </row>
    <row r="247" spans="2:4" x14ac:dyDescent="0.25">
      <c r="B247" s="7">
        <v>80101</v>
      </c>
      <c r="C247" s="7" t="s">
        <v>407</v>
      </c>
      <c r="D247" s="12"/>
    </row>
    <row r="248" spans="2:4" x14ac:dyDescent="0.25">
      <c r="B248" s="7">
        <v>80102</v>
      </c>
      <c r="C248" s="7" t="s">
        <v>408</v>
      </c>
      <c r="D248" s="12"/>
    </row>
    <row r="249" spans="2:4" x14ac:dyDescent="0.25">
      <c r="D249" s="3"/>
    </row>
    <row r="250" spans="2:4" x14ac:dyDescent="0.25">
      <c r="D250" s="3"/>
    </row>
    <row r="251" spans="2:4" x14ac:dyDescent="0.25">
      <c r="D251" s="3"/>
    </row>
    <row r="252" spans="2:4" x14ac:dyDescent="0.25">
      <c r="D252" s="3"/>
    </row>
    <row r="253" spans="2:4" x14ac:dyDescent="0.25">
      <c r="D253" s="3"/>
    </row>
    <row r="254" spans="2:4" x14ac:dyDescent="0.25">
      <c r="D254" s="3"/>
    </row>
    <row r="255" spans="2:4" x14ac:dyDescent="0.25">
      <c r="D255" s="3"/>
    </row>
    <row r="256" spans="2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</sheetData>
  <mergeCells count="1">
    <mergeCell ref="B1:D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arArchivoDetalle2Txt">
                <anchor moveWithCells="1" sizeWithCells="1">
                  <from>
                    <xdr:col>4</xdr:col>
                    <xdr:colOff>361950</xdr:colOff>
                    <xdr:row>0</xdr:row>
                    <xdr:rowOff>104775</xdr:rowOff>
                  </from>
                  <to>
                    <xdr:col>6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3"/>
  </sheetPr>
  <dimension ref="B1:F781"/>
  <sheetViews>
    <sheetView topLeftCell="A66" workbookViewId="0">
      <selection activeCell="D73" sqref="D73"/>
    </sheetView>
  </sheetViews>
  <sheetFormatPr baseColWidth="10" defaultRowHeight="15" x14ac:dyDescent="0.25"/>
  <cols>
    <col min="2" max="2" width="17.140625" customWidth="1"/>
    <col min="3" max="3" width="78" customWidth="1"/>
    <col min="4" max="4" width="18.140625" customWidth="1"/>
  </cols>
  <sheetData>
    <row r="1" spans="2:4" x14ac:dyDescent="0.25">
      <c r="B1" s="24" t="s">
        <v>502</v>
      </c>
      <c r="C1" s="24"/>
      <c r="D1" s="24"/>
    </row>
    <row r="2" spans="2:4" x14ac:dyDescent="0.25">
      <c r="B2" s="2" t="s">
        <v>0</v>
      </c>
      <c r="C2" s="2" t="s">
        <v>1</v>
      </c>
      <c r="D2" s="2" t="s">
        <v>504</v>
      </c>
    </row>
    <row r="3" spans="2:4" x14ac:dyDescent="0.25">
      <c r="B3" s="7">
        <v>95</v>
      </c>
      <c r="C3" s="7" t="s">
        <v>409</v>
      </c>
      <c r="D3" s="13">
        <f>+D6+D12+D22</f>
        <v>0</v>
      </c>
    </row>
    <row r="4" spans="2:4" x14ac:dyDescent="0.25">
      <c r="B4" s="7">
        <v>9501</v>
      </c>
      <c r="C4" s="7" t="s">
        <v>410</v>
      </c>
      <c r="D4" s="13">
        <f>+D3</f>
        <v>0</v>
      </c>
    </row>
    <row r="5" spans="2:4" x14ac:dyDescent="0.25">
      <c r="B5" s="7">
        <v>950101</v>
      </c>
      <c r="C5" s="7" t="s">
        <v>411</v>
      </c>
      <c r="D5" s="13"/>
    </row>
    <row r="6" spans="2:4" x14ac:dyDescent="0.25">
      <c r="B6" s="7">
        <v>95010101</v>
      </c>
      <c r="C6" s="7" t="s">
        <v>412</v>
      </c>
      <c r="D6" s="13">
        <f>+ERI!D9</f>
        <v>0</v>
      </c>
    </row>
    <row r="7" spans="2:4" x14ac:dyDescent="0.25">
      <c r="B7" s="7">
        <v>95010102</v>
      </c>
      <c r="C7" s="7" t="s">
        <v>413</v>
      </c>
      <c r="D7" s="13"/>
    </row>
    <row r="8" spans="2:4" x14ac:dyDescent="0.25">
      <c r="B8" s="7">
        <v>95010103</v>
      </c>
      <c r="C8" s="7" t="s">
        <v>414</v>
      </c>
      <c r="D8" s="13"/>
    </row>
    <row r="9" spans="2:4" x14ac:dyDescent="0.25">
      <c r="B9" s="7">
        <v>95010104</v>
      </c>
      <c r="C9" s="7" t="s">
        <v>415</v>
      </c>
      <c r="D9" s="13"/>
    </row>
    <row r="10" spans="2:4" x14ac:dyDescent="0.25">
      <c r="B10" s="7">
        <v>95010105</v>
      </c>
      <c r="C10" s="7" t="s">
        <v>416</v>
      </c>
      <c r="D10" s="13"/>
    </row>
    <row r="11" spans="2:4" x14ac:dyDescent="0.25">
      <c r="B11" s="7">
        <v>950102</v>
      </c>
      <c r="C11" s="7" t="s">
        <v>417</v>
      </c>
      <c r="D11" s="13"/>
    </row>
    <row r="12" spans="2:4" x14ac:dyDescent="0.25">
      <c r="B12" s="7">
        <v>95010201</v>
      </c>
      <c r="C12" s="7" t="s">
        <v>418</v>
      </c>
      <c r="D12" s="13">
        <f>-(ERI!D89+ERI!D219)</f>
        <v>0</v>
      </c>
    </row>
    <row r="13" spans="2:4" x14ac:dyDescent="0.25">
      <c r="B13" s="7">
        <v>95010202</v>
      </c>
      <c r="C13" s="7" t="s">
        <v>419</v>
      </c>
      <c r="D13" s="13"/>
    </row>
    <row r="14" spans="2:4" x14ac:dyDescent="0.25">
      <c r="B14" s="7">
        <v>95010203</v>
      </c>
      <c r="C14" s="7" t="s">
        <v>420</v>
      </c>
      <c r="D14" s="13"/>
    </row>
    <row r="15" spans="2:4" x14ac:dyDescent="0.25">
      <c r="B15" s="7">
        <v>95010204</v>
      </c>
      <c r="C15" s="7" t="s">
        <v>421</v>
      </c>
      <c r="D15" s="13"/>
    </row>
    <row r="16" spans="2:4" x14ac:dyDescent="0.25">
      <c r="B16" s="7">
        <v>95010205</v>
      </c>
      <c r="C16" s="7" t="s">
        <v>422</v>
      </c>
      <c r="D16" s="13"/>
    </row>
    <row r="17" spans="2:4" x14ac:dyDescent="0.25">
      <c r="B17" s="7">
        <v>950103</v>
      </c>
      <c r="C17" s="7" t="s">
        <v>423</v>
      </c>
      <c r="D17" s="13"/>
    </row>
    <row r="18" spans="2:4" x14ac:dyDescent="0.25">
      <c r="B18" s="7">
        <v>950104</v>
      </c>
      <c r="C18" s="7" t="s">
        <v>424</v>
      </c>
      <c r="D18" s="13"/>
    </row>
    <row r="19" spans="2:4" x14ac:dyDescent="0.25">
      <c r="B19" s="7">
        <v>950105</v>
      </c>
      <c r="C19" s="7" t="s">
        <v>425</v>
      </c>
      <c r="D19" s="13"/>
    </row>
    <row r="20" spans="2:4" x14ac:dyDescent="0.25">
      <c r="B20" s="7">
        <v>950106</v>
      </c>
      <c r="C20" s="7" t="s">
        <v>426</v>
      </c>
      <c r="D20" s="13"/>
    </row>
    <row r="21" spans="2:4" x14ac:dyDescent="0.25">
      <c r="B21" s="7">
        <v>950107</v>
      </c>
      <c r="C21" s="7" t="s">
        <v>427</v>
      </c>
      <c r="D21" s="13"/>
    </row>
    <row r="22" spans="2:4" x14ac:dyDescent="0.25">
      <c r="B22" s="7">
        <v>950108</v>
      </c>
      <c r="C22" s="7" t="s">
        <v>428</v>
      </c>
      <c r="D22" s="13"/>
    </row>
    <row r="23" spans="2:4" x14ac:dyDescent="0.25">
      <c r="B23" s="7">
        <v>9502</v>
      </c>
      <c r="C23" s="7" t="s">
        <v>429</v>
      </c>
      <c r="D23" s="13"/>
    </row>
    <row r="24" spans="2:4" x14ac:dyDescent="0.25">
      <c r="B24" s="7">
        <v>950201</v>
      </c>
      <c r="C24" s="7" t="s">
        <v>430</v>
      </c>
      <c r="D24" s="13"/>
    </row>
    <row r="25" spans="2:4" x14ac:dyDescent="0.25">
      <c r="B25" s="7">
        <v>950202</v>
      </c>
      <c r="C25" s="7" t="s">
        <v>431</v>
      </c>
      <c r="D25" s="13"/>
    </row>
    <row r="26" spans="2:4" x14ac:dyDescent="0.25">
      <c r="B26" s="7">
        <v>950203</v>
      </c>
      <c r="C26" s="7" t="s">
        <v>432</v>
      </c>
      <c r="D26" s="13"/>
    </row>
    <row r="27" spans="2:4" x14ac:dyDescent="0.25">
      <c r="B27" s="7">
        <v>950204</v>
      </c>
      <c r="C27" s="7" t="s">
        <v>433</v>
      </c>
      <c r="D27" s="13"/>
    </row>
    <row r="28" spans="2:4" x14ac:dyDescent="0.25">
      <c r="B28" s="7">
        <v>950205</v>
      </c>
      <c r="C28" s="7" t="s">
        <v>434</v>
      </c>
      <c r="D28" s="13"/>
    </row>
    <row r="29" spans="2:4" x14ac:dyDescent="0.25">
      <c r="B29" s="7">
        <v>950206</v>
      </c>
      <c r="C29" s="7" t="s">
        <v>435</v>
      </c>
      <c r="D29" s="13"/>
    </row>
    <row r="30" spans="2:4" x14ac:dyDescent="0.25">
      <c r="B30" s="7">
        <v>950207</v>
      </c>
      <c r="C30" s="7" t="s">
        <v>436</v>
      </c>
      <c r="D30" s="13"/>
    </row>
    <row r="31" spans="2:4" x14ac:dyDescent="0.25">
      <c r="B31" s="7">
        <v>950208</v>
      </c>
      <c r="C31" s="7" t="s">
        <v>437</v>
      </c>
      <c r="D31" s="13"/>
    </row>
    <row r="32" spans="2:4" x14ac:dyDescent="0.25">
      <c r="B32" s="7">
        <v>950209</v>
      </c>
      <c r="C32" s="7" t="s">
        <v>438</v>
      </c>
      <c r="D32" s="13"/>
    </row>
    <row r="33" spans="2:4" x14ac:dyDescent="0.25">
      <c r="B33" s="7">
        <v>950210</v>
      </c>
      <c r="C33" s="7" t="s">
        <v>439</v>
      </c>
      <c r="D33" s="13"/>
    </row>
    <row r="34" spans="2:4" x14ac:dyDescent="0.25">
      <c r="B34" s="7">
        <v>950211</v>
      </c>
      <c r="C34" s="7" t="s">
        <v>440</v>
      </c>
      <c r="D34" s="13"/>
    </row>
    <row r="35" spans="2:4" x14ac:dyDescent="0.25">
      <c r="B35" s="7">
        <v>950212</v>
      </c>
      <c r="C35" s="7" t="s">
        <v>441</v>
      </c>
      <c r="D35" s="13"/>
    </row>
    <row r="36" spans="2:4" x14ac:dyDescent="0.25">
      <c r="B36" s="7">
        <v>950213</v>
      </c>
      <c r="C36" s="7" t="s">
        <v>442</v>
      </c>
      <c r="D36" s="13"/>
    </row>
    <row r="37" spans="2:4" x14ac:dyDescent="0.25">
      <c r="B37" s="7">
        <v>950214</v>
      </c>
      <c r="C37" s="7" t="s">
        <v>443</v>
      </c>
      <c r="D37" s="13"/>
    </row>
    <row r="38" spans="2:4" x14ac:dyDescent="0.25">
      <c r="B38" s="7">
        <v>950215</v>
      </c>
      <c r="C38" s="7" t="s">
        <v>444</v>
      </c>
      <c r="D38" s="13"/>
    </row>
    <row r="39" spans="2:4" x14ac:dyDescent="0.25">
      <c r="B39" s="7">
        <v>950216</v>
      </c>
      <c r="C39" s="7" t="s">
        <v>445</v>
      </c>
      <c r="D39" s="13"/>
    </row>
    <row r="40" spans="2:4" x14ac:dyDescent="0.25">
      <c r="B40" s="7">
        <v>950217</v>
      </c>
      <c r="C40" s="7" t="s">
        <v>446</v>
      </c>
      <c r="D40" s="13"/>
    </row>
    <row r="41" spans="2:4" x14ac:dyDescent="0.25">
      <c r="B41" s="7">
        <v>950218</v>
      </c>
      <c r="C41" s="7" t="s">
        <v>447</v>
      </c>
      <c r="D41" s="13"/>
    </row>
    <row r="42" spans="2:4" x14ac:dyDescent="0.25">
      <c r="B42" s="7">
        <v>950219</v>
      </c>
      <c r="C42" s="7" t="s">
        <v>424</v>
      </c>
      <c r="D42" s="13"/>
    </row>
    <row r="43" spans="2:4" x14ac:dyDescent="0.25">
      <c r="B43" s="7">
        <v>950220</v>
      </c>
      <c r="C43" s="7" t="s">
        <v>426</v>
      </c>
      <c r="D43" s="13"/>
    </row>
    <row r="44" spans="2:4" x14ac:dyDescent="0.25">
      <c r="B44" s="7">
        <v>950221</v>
      </c>
      <c r="C44" s="7" t="s">
        <v>428</v>
      </c>
      <c r="D44" s="13"/>
    </row>
    <row r="45" spans="2:4" x14ac:dyDescent="0.25">
      <c r="B45" s="7">
        <v>9503</v>
      </c>
      <c r="C45" s="7" t="s">
        <v>448</v>
      </c>
      <c r="D45" s="13"/>
    </row>
    <row r="46" spans="2:4" x14ac:dyDescent="0.25">
      <c r="B46" s="7">
        <v>950301</v>
      </c>
      <c r="C46" s="7" t="s">
        <v>449</v>
      </c>
      <c r="D46" s="13"/>
    </row>
    <row r="47" spans="2:4" x14ac:dyDescent="0.25">
      <c r="B47" s="7">
        <v>950302</v>
      </c>
      <c r="C47" s="7" t="s">
        <v>450</v>
      </c>
      <c r="D47" s="13"/>
    </row>
    <row r="48" spans="2:4" x14ac:dyDescent="0.25">
      <c r="B48" s="7">
        <v>950303</v>
      </c>
      <c r="C48" s="7" t="s">
        <v>451</v>
      </c>
      <c r="D48" s="13"/>
    </row>
    <row r="49" spans="2:4" x14ac:dyDescent="0.25">
      <c r="B49" s="7">
        <v>950304</v>
      </c>
      <c r="C49" s="7" t="s">
        <v>452</v>
      </c>
      <c r="D49" s="13"/>
    </row>
    <row r="50" spans="2:4" x14ac:dyDescent="0.25">
      <c r="B50" s="7">
        <v>950305</v>
      </c>
      <c r="C50" s="7" t="s">
        <v>453</v>
      </c>
      <c r="D50" s="13"/>
    </row>
    <row r="51" spans="2:4" x14ac:dyDescent="0.25">
      <c r="B51" s="7">
        <v>950306</v>
      </c>
      <c r="C51" s="7" t="s">
        <v>454</v>
      </c>
      <c r="D51" s="13"/>
    </row>
    <row r="52" spans="2:4" x14ac:dyDescent="0.25">
      <c r="B52" s="7">
        <v>950307</v>
      </c>
      <c r="C52" s="7" t="s">
        <v>443</v>
      </c>
      <c r="D52" s="13"/>
    </row>
    <row r="53" spans="2:4" x14ac:dyDescent="0.25">
      <c r="B53" s="7">
        <v>950308</v>
      </c>
      <c r="C53" s="7" t="s">
        <v>423</v>
      </c>
      <c r="D53" s="13"/>
    </row>
    <row r="54" spans="2:4" x14ac:dyDescent="0.25">
      <c r="B54" s="7">
        <v>950309</v>
      </c>
      <c r="C54" s="7" t="s">
        <v>426</v>
      </c>
      <c r="D54" s="13"/>
    </row>
    <row r="55" spans="2:4" x14ac:dyDescent="0.25">
      <c r="B55" s="7">
        <v>950310</v>
      </c>
      <c r="C55" s="7" t="s">
        <v>428</v>
      </c>
      <c r="D55" s="13"/>
    </row>
    <row r="56" spans="2:4" x14ac:dyDescent="0.25">
      <c r="B56" s="7">
        <v>9504</v>
      </c>
      <c r="C56" s="7" t="s">
        <v>455</v>
      </c>
      <c r="D56" s="13"/>
    </row>
    <row r="57" spans="2:4" x14ac:dyDescent="0.25">
      <c r="B57" s="7">
        <v>950401</v>
      </c>
      <c r="C57" s="7" t="s">
        <v>456</v>
      </c>
      <c r="D57" s="13"/>
    </row>
    <row r="58" spans="2:4" x14ac:dyDescent="0.25">
      <c r="B58" s="7">
        <v>9505</v>
      </c>
      <c r="C58" s="7" t="s">
        <v>457</v>
      </c>
      <c r="D58" s="13"/>
    </row>
    <row r="59" spans="2:4" x14ac:dyDescent="0.25">
      <c r="B59" s="7">
        <v>9506</v>
      </c>
      <c r="C59" s="7" t="s">
        <v>458</v>
      </c>
      <c r="D59" s="13"/>
    </row>
    <row r="60" spans="2:4" x14ac:dyDescent="0.25">
      <c r="B60" s="7">
        <v>9507</v>
      </c>
      <c r="C60" s="7" t="s">
        <v>459</v>
      </c>
      <c r="D60" s="13"/>
    </row>
    <row r="61" spans="2:4" x14ac:dyDescent="0.25">
      <c r="B61" s="7">
        <v>96</v>
      </c>
      <c r="C61" s="7" t="s">
        <v>460</v>
      </c>
      <c r="D61" s="13"/>
    </row>
    <row r="62" spans="2:4" x14ac:dyDescent="0.25">
      <c r="B62" s="7">
        <v>97</v>
      </c>
      <c r="C62" s="7" t="s">
        <v>461</v>
      </c>
      <c r="D62" s="13">
        <f>SUM(D63:D73)</f>
        <v>-1069.7199999999998</v>
      </c>
    </row>
    <row r="63" spans="2:4" x14ac:dyDescent="0.25">
      <c r="B63" s="7">
        <v>9701</v>
      </c>
      <c r="C63" s="7" t="s">
        <v>462</v>
      </c>
      <c r="D63" s="13"/>
    </row>
    <row r="64" spans="2:4" x14ac:dyDescent="0.25">
      <c r="B64" s="7">
        <v>9702</v>
      </c>
      <c r="C64" s="7" t="s">
        <v>463</v>
      </c>
      <c r="D64" s="13"/>
    </row>
    <row r="65" spans="2:4" x14ac:dyDescent="0.25">
      <c r="B65" s="7">
        <v>9703</v>
      </c>
      <c r="C65" s="7" t="s">
        <v>464</v>
      </c>
      <c r="D65" s="13"/>
    </row>
    <row r="66" spans="2:4" x14ac:dyDescent="0.25">
      <c r="B66" s="7">
        <v>9704</v>
      </c>
      <c r="C66" s="7" t="s">
        <v>465</v>
      </c>
      <c r="D66" s="13"/>
    </row>
    <row r="67" spans="2:4" x14ac:dyDescent="0.25">
      <c r="B67" s="7">
        <v>9705</v>
      </c>
      <c r="C67" s="7" t="s">
        <v>466</v>
      </c>
      <c r="D67" s="13"/>
    </row>
    <row r="68" spans="2:4" x14ac:dyDescent="0.25">
      <c r="B68" s="7">
        <v>9706</v>
      </c>
      <c r="C68" s="7" t="s">
        <v>467</v>
      </c>
      <c r="D68" s="13"/>
    </row>
    <row r="69" spans="2:4" x14ac:dyDescent="0.25">
      <c r="B69" s="7">
        <v>9707</v>
      </c>
      <c r="C69" s="7" t="s">
        <v>468</v>
      </c>
      <c r="D69" s="13"/>
    </row>
    <row r="70" spans="2:4" x14ac:dyDescent="0.25">
      <c r="B70" s="7">
        <v>9708</v>
      </c>
      <c r="C70" s="7" t="s">
        <v>469</v>
      </c>
      <c r="D70" s="13"/>
    </row>
    <row r="71" spans="2:4" x14ac:dyDescent="0.25">
      <c r="B71" s="7">
        <v>9709</v>
      </c>
      <c r="C71" s="7" t="s">
        <v>470</v>
      </c>
      <c r="D71" s="13"/>
    </row>
    <row r="72" spans="2:4" x14ac:dyDescent="0.25">
      <c r="B72" s="7">
        <v>9710</v>
      </c>
      <c r="C72" s="7" t="s">
        <v>471</v>
      </c>
      <c r="D72" s="13"/>
    </row>
    <row r="73" spans="2:4" x14ac:dyDescent="0.25">
      <c r="B73" s="7">
        <v>9711</v>
      </c>
      <c r="C73" s="7" t="s">
        <v>472</v>
      </c>
      <c r="D73" s="13">
        <f>-1816.09+746.37</f>
        <v>-1069.7199999999998</v>
      </c>
    </row>
    <row r="74" spans="2:4" x14ac:dyDescent="0.25">
      <c r="B74" s="7">
        <v>98</v>
      </c>
      <c r="C74" s="7" t="s">
        <v>473</v>
      </c>
      <c r="D74" s="13">
        <f>SUM(D75:D85)</f>
        <v>1492.74</v>
      </c>
    </row>
    <row r="75" spans="2:4" x14ac:dyDescent="0.25">
      <c r="B75" s="7">
        <v>9801</v>
      </c>
      <c r="C75" s="7" t="s">
        <v>474</v>
      </c>
      <c r="D75" s="13"/>
    </row>
    <row r="76" spans="2:4" x14ac:dyDescent="0.25">
      <c r="B76" s="7">
        <v>9802</v>
      </c>
      <c r="C76" s="7" t="s">
        <v>475</v>
      </c>
      <c r="D76" s="13"/>
    </row>
    <row r="77" spans="2:4" x14ac:dyDescent="0.25">
      <c r="B77" s="7">
        <v>9803</v>
      </c>
      <c r="C77" s="7" t="s">
        <v>476</v>
      </c>
      <c r="D77" s="13"/>
    </row>
    <row r="78" spans="2:4" x14ac:dyDescent="0.25">
      <c r="B78" s="7">
        <v>9804</v>
      </c>
      <c r="C78" s="7" t="s">
        <v>477</v>
      </c>
      <c r="D78" s="13"/>
    </row>
    <row r="79" spans="2:4" x14ac:dyDescent="0.25">
      <c r="B79" s="7">
        <v>9805</v>
      </c>
      <c r="C79" s="7" t="s">
        <v>478</v>
      </c>
      <c r="D79" s="13"/>
    </row>
    <row r="80" spans="2:4" x14ac:dyDescent="0.25">
      <c r="B80" s="7">
        <v>9806</v>
      </c>
      <c r="C80" s="7" t="s">
        <v>479</v>
      </c>
      <c r="D80" s="13"/>
    </row>
    <row r="81" spans="2:6" x14ac:dyDescent="0.25">
      <c r="B81" s="7">
        <v>9807</v>
      </c>
      <c r="C81" s="7" t="s">
        <v>480</v>
      </c>
      <c r="D81" s="13"/>
    </row>
    <row r="82" spans="2:6" x14ac:dyDescent="0.25">
      <c r="B82" s="7">
        <v>9808</v>
      </c>
      <c r="C82" s="7" t="s">
        <v>481</v>
      </c>
      <c r="D82" s="13"/>
    </row>
    <row r="83" spans="2:6" x14ac:dyDescent="0.25">
      <c r="B83" s="7">
        <v>9809</v>
      </c>
      <c r="C83" s="7" t="s">
        <v>482</v>
      </c>
      <c r="D83" s="13"/>
    </row>
    <row r="84" spans="2:6" x14ac:dyDescent="0.25">
      <c r="B84" s="7">
        <v>9810</v>
      </c>
      <c r="C84" s="7" t="s">
        <v>483</v>
      </c>
      <c r="D84" s="13">
        <v>746.37</v>
      </c>
      <c r="E84" s="22">
        <f>+D4</f>
        <v>0</v>
      </c>
      <c r="F84" s="22">
        <f>+E84-D85</f>
        <v>-746.37</v>
      </c>
    </row>
    <row r="85" spans="2:6" x14ac:dyDescent="0.25">
      <c r="B85" s="7">
        <v>9820</v>
      </c>
      <c r="C85" s="7" t="s">
        <v>484</v>
      </c>
      <c r="D85" s="13">
        <f>SUM(D75:D84)</f>
        <v>746.37</v>
      </c>
      <c r="E85" s="22">
        <f>+D61+D62+D74</f>
        <v>423.02000000000021</v>
      </c>
      <c r="F85" s="22">
        <f>+D85-E85</f>
        <v>323.3499999999998</v>
      </c>
    </row>
    <row r="86" spans="2:6" x14ac:dyDescent="0.25">
      <c r="D86" s="4"/>
    </row>
    <row r="87" spans="2:6" x14ac:dyDescent="0.25">
      <c r="D87" s="4"/>
    </row>
    <row r="88" spans="2:6" x14ac:dyDescent="0.25">
      <c r="D88" s="4"/>
    </row>
    <row r="89" spans="2:6" x14ac:dyDescent="0.25">
      <c r="D89" s="4"/>
    </row>
    <row r="90" spans="2:6" x14ac:dyDescent="0.25">
      <c r="D90" s="4"/>
    </row>
    <row r="91" spans="2:6" x14ac:dyDescent="0.25">
      <c r="D91" s="4"/>
    </row>
    <row r="92" spans="2:6" x14ac:dyDescent="0.25">
      <c r="D92" s="4"/>
    </row>
    <row r="93" spans="2:6" x14ac:dyDescent="0.25">
      <c r="D93" s="4"/>
    </row>
    <row r="94" spans="2:6" x14ac:dyDescent="0.25">
      <c r="D94" s="4"/>
    </row>
    <row r="95" spans="2:6" x14ac:dyDescent="0.25">
      <c r="D95" s="4"/>
    </row>
    <row r="96" spans="2:6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  <row r="128" spans="4:4" x14ac:dyDescent="0.25">
      <c r="D128" s="4"/>
    </row>
    <row r="129" spans="4:4" x14ac:dyDescent="0.25">
      <c r="D129" s="4"/>
    </row>
    <row r="130" spans="4:4" x14ac:dyDescent="0.25">
      <c r="D130" s="4"/>
    </row>
    <row r="131" spans="4:4" x14ac:dyDescent="0.25">
      <c r="D131" s="4"/>
    </row>
    <row r="132" spans="4:4" x14ac:dyDescent="0.25">
      <c r="D132" s="4"/>
    </row>
    <row r="133" spans="4:4" x14ac:dyDescent="0.25">
      <c r="D133" s="4"/>
    </row>
    <row r="134" spans="4:4" x14ac:dyDescent="0.25">
      <c r="D134" s="4"/>
    </row>
    <row r="135" spans="4:4" x14ac:dyDescent="0.25">
      <c r="D135" s="4"/>
    </row>
    <row r="136" spans="4:4" x14ac:dyDescent="0.25">
      <c r="D136" s="4"/>
    </row>
    <row r="137" spans="4:4" x14ac:dyDescent="0.25">
      <c r="D137" s="4"/>
    </row>
    <row r="138" spans="4:4" x14ac:dyDescent="0.25">
      <c r="D138" s="4"/>
    </row>
    <row r="139" spans="4:4" x14ac:dyDescent="0.25">
      <c r="D139" s="4"/>
    </row>
    <row r="140" spans="4:4" x14ac:dyDescent="0.25">
      <c r="D140" s="4"/>
    </row>
    <row r="141" spans="4:4" x14ac:dyDescent="0.25">
      <c r="D141" s="4"/>
    </row>
    <row r="142" spans="4:4" x14ac:dyDescent="0.25">
      <c r="D142" s="4"/>
    </row>
    <row r="143" spans="4:4" x14ac:dyDescent="0.25">
      <c r="D143" s="4"/>
    </row>
    <row r="144" spans="4:4" x14ac:dyDescent="0.25">
      <c r="D144" s="4"/>
    </row>
    <row r="145" spans="4:4" x14ac:dyDescent="0.25">
      <c r="D145" s="4"/>
    </row>
    <row r="146" spans="4:4" x14ac:dyDescent="0.25">
      <c r="D146" s="4"/>
    </row>
    <row r="147" spans="4:4" x14ac:dyDescent="0.25">
      <c r="D147" s="4"/>
    </row>
    <row r="148" spans="4:4" x14ac:dyDescent="0.25">
      <c r="D148" s="4"/>
    </row>
    <row r="149" spans="4:4" x14ac:dyDescent="0.25">
      <c r="D149" s="4"/>
    </row>
    <row r="150" spans="4:4" x14ac:dyDescent="0.25">
      <c r="D150" s="4"/>
    </row>
    <row r="151" spans="4:4" x14ac:dyDescent="0.25">
      <c r="D151" s="4"/>
    </row>
    <row r="152" spans="4:4" x14ac:dyDescent="0.25">
      <c r="D152" s="4"/>
    </row>
    <row r="153" spans="4:4" x14ac:dyDescent="0.25">
      <c r="D153" s="4"/>
    </row>
    <row r="154" spans="4:4" x14ac:dyDescent="0.25">
      <c r="D154" s="4"/>
    </row>
    <row r="155" spans="4:4" x14ac:dyDescent="0.25">
      <c r="D155" s="4"/>
    </row>
    <row r="156" spans="4:4" x14ac:dyDescent="0.25">
      <c r="D156" s="4"/>
    </row>
    <row r="157" spans="4:4" x14ac:dyDescent="0.25">
      <c r="D157" s="4"/>
    </row>
    <row r="158" spans="4:4" x14ac:dyDescent="0.25">
      <c r="D158" s="4"/>
    </row>
    <row r="159" spans="4:4" x14ac:dyDescent="0.25">
      <c r="D159" s="4"/>
    </row>
    <row r="160" spans="4:4" x14ac:dyDescent="0.25">
      <c r="D160" s="4"/>
    </row>
    <row r="161" spans="4:4" x14ac:dyDescent="0.25">
      <c r="D161" s="4"/>
    </row>
    <row r="162" spans="4:4" x14ac:dyDescent="0.25">
      <c r="D162" s="4"/>
    </row>
    <row r="163" spans="4:4" x14ac:dyDescent="0.25">
      <c r="D163" s="4"/>
    </row>
    <row r="164" spans="4:4" x14ac:dyDescent="0.25">
      <c r="D164" s="4"/>
    </row>
    <row r="165" spans="4:4" x14ac:dyDescent="0.25">
      <c r="D165" s="4"/>
    </row>
    <row r="166" spans="4:4" x14ac:dyDescent="0.25">
      <c r="D166" s="4"/>
    </row>
    <row r="167" spans="4:4" x14ac:dyDescent="0.25">
      <c r="D167" s="4"/>
    </row>
    <row r="168" spans="4:4" x14ac:dyDescent="0.25">
      <c r="D168" s="4"/>
    </row>
    <row r="169" spans="4:4" x14ac:dyDescent="0.25">
      <c r="D169" s="4"/>
    </row>
    <row r="170" spans="4:4" x14ac:dyDescent="0.25">
      <c r="D170" s="4"/>
    </row>
    <row r="171" spans="4:4" x14ac:dyDescent="0.25">
      <c r="D171" s="4"/>
    </row>
    <row r="172" spans="4:4" x14ac:dyDescent="0.25">
      <c r="D172" s="4"/>
    </row>
    <row r="173" spans="4:4" x14ac:dyDescent="0.25">
      <c r="D173" s="4"/>
    </row>
    <row r="174" spans="4:4" x14ac:dyDescent="0.25">
      <c r="D174" s="4"/>
    </row>
    <row r="175" spans="4:4" x14ac:dyDescent="0.25">
      <c r="D175" s="4"/>
    </row>
    <row r="176" spans="4:4" x14ac:dyDescent="0.25">
      <c r="D176" s="4"/>
    </row>
    <row r="177" spans="4:4" x14ac:dyDescent="0.25">
      <c r="D177" s="4"/>
    </row>
    <row r="178" spans="4:4" x14ac:dyDescent="0.25">
      <c r="D178" s="4"/>
    </row>
    <row r="179" spans="4:4" x14ac:dyDescent="0.25">
      <c r="D179" s="4"/>
    </row>
    <row r="180" spans="4:4" x14ac:dyDescent="0.25">
      <c r="D180" s="4"/>
    </row>
    <row r="181" spans="4:4" x14ac:dyDescent="0.25">
      <c r="D181" s="4"/>
    </row>
    <row r="182" spans="4:4" x14ac:dyDescent="0.25">
      <c r="D182" s="4"/>
    </row>
    <row r="183" spans="4:4" x14ac:dyDescent="0.25">
      <c r="D183" s="4"/>
    </row>
    <row r="184" spans="4:4" x14ac:dyDescent="0.25">
      <c r="D184" s="4"/>
    </row>
    <row r="185" spans="4:4" x14ac:dyDescent="0.25">
      <c r="D185" s="4"/>
    </row>
    <row r="186" spans="4:4" x14ac:dyDescent="0.25">
      <c r="D186" s="4"/>
    </row>
    <row r="187" spans="4:4" x14ac:dyDescent="0.25">
      <c r="D187" s="4"/>
    </row>
    <row r="188" spans="4:4" x14ac:dyDescent="0.25">
      <c r="D188" s="4"/>
    </row>
    <row r="189" spans="4:4" x14ac:dyDescent="0.25">
      <c r="D189" s="4"/>
    </row>
    <row r="190" spans="4:4" x14ac:dyDescent="0.25">
      <c r="D190" s="4"/>
    </row>
    <row r="191" spans="4:4" x14ac:dyDescent="0.25">
      <c r="D191" s="4"/>
    </row>
    <row r="192" spans="4:4" x14ac:dyDescent="0.25">
      <c r="D192" s="4"/>
    </row>
    <row r="193" spans="4:4" x14ac:dyDescent="0.25">
      <c r="D193" s="4"/>
    </row>
    <row r="194" spans="4:4" x14ac:dyDescent="0.25">
      <c r="D194" s="4"/>
    </row>
    <row r="195" spans="4:4" x14ac:dyDescent="0.25">
      <c r="D195" s="4"/>
    </row>
    <row r="196" spans="4:4" x14ac:dyDescent="0.25">
      <c r="D196" s="4"/>
    </row>
    <row r="197" spans="4:4" x14ac:dyDescent="0.25">
      <c r="D197" s="4"/>
    </row>
    <row r="198" spans="4:4" x14ac:dyDescent="0.25">
      <c r="D198" s="4"/>
    </row>
    <row r="199" spans="4:4" x14ac:dyDescent="0.25">
      <c r="D199" s="4"/>
    </row>
    <row r="200" spans="4:4" x14ac:dyDescent="0.25">
      <c r="D200" s="4"/>
    </row>
    <row r="201" spans="4:4" x14ac:dyDescent="0.25">
      <c r="D201" s="4"/>
    </row>
    <row r="202" spans="4:4" x14ac:dyDescent="0.25">
      <c r="D202" s="4"/>
    </row>
    <row r="203" spans="4:4" x14ac:dyDescent="0.25">
      <c r="D203" s="4"/>
    </row>
    <row r="204" spans="4:4" x14ac:dyDescent="0.25">
      <c r="D204" s="4"/>
    </row>
    <row r="205" spans="4:4" x14ac:dyDescent="0.25">
      <c r="D205" s="4"/>
    </row>
    <row r="206" spans="4:4" x14ac:dyDescent="0.25">
      <c r="D206" s="4"/>
    </row>
    <row r="207" spans="4:4" x14ac:dyDescent="0.25">
      <c r="D207" s="4"/>
    </row>
    <row r="208" spans="4:4" x14ac:dyDescent="0.25">
      <c r="D208" s="4"/>
    </row>
    <row r="209" spans="4:4" x14ac:dyDescent="0.25">
      <c r="D209" s="4"/>
    </row>
    <row r="210" spans="4:4" x14ac:dyDescent="0.25">
      <c r="D210" s="4"/>
    </row>
    <row r="211" spans="4:4" x14ac:dyDescent="0.25">
      <c r="D211" s="4"/>
    </row>
    <row r="212" spans="4:4" x14ac:dyDescent="0.25">
      <c r="D212" s="4"/>
    </row>
    <row r="213" spans="4:4" x14ac:dyDescent="0.25">
      <c r="D213" s="4"/>
    </row>
    <row r="214" spans="4:4" x14ac:dyDescent="0.25">
      <c r="D214" s="4"/>
    </row>
    <row r="215" spans="4:4" x14ac:dyDescent="0.25">
      <c r="D215" s="4"/>
    </row>
    <row r="216" spans="4:4" x14ac:dyDescent="0.25">
      <c r="D216" s="4"/>
    </row>
    <row r="217" spans="4:4" x14ac:dyDescent="0.25">
      <c r="D217" s="4"/>
    </row>
    <row r="218" spans="4:4" x14ac:dyDescent="0.25">
      <c r="D218" s="4"/>
    </row>
    <row r="219" spans="4:4" x14ac:dyDescent="0.25">
      <c r="D219" s="4"/>
    </row>
    <row r="220" spans="4:4" x14ac:dyDescent="0.25">
      <c r="D220" s="4"/>
    </row>
    <row r="221" spans="4:4" x14ac:dyDescent="0.25">
      <c r="D221" s="4"/>
    </row>
    <row r="222" spans="4:4" x14ac:dyDescent="0.25">
      <c r="D222" s="4"/>
    </row>
    <row r="223" spans="4:4" x14ac:dyDescent="0.25">
      <c r="D223" s="4"/>
    </row>
    <row r="224" spans="4:4" x14ac:dyDescent="0.25">
      <c r="D224" s="4"/>
    </row>
    <row r="225" spans="4:4" x14ac:dyDescent="0.25">
      <c r="D225" s="4"/>
    </row>
    <row r="226" spans="4:4" x14ac:dyDescent="0.25">
      <c r="D226" s="4"/>
    </row>
    <row r="227" spans="4:4" x14ac:dyDescent="0.25">
      <c r="D227" s="4"/>
    </row>
    <row r="228" spans="4:4" x14ac:dyDescent="0.25">
      <c r="D228" s="4"/>
    </row>
    <row r="229" spans="4:4" x14ac:dyDescent="0.25">
      <c r="D229" s="4"/>
    </row>
    <row r="230" spans="4:4" x14ac:dyDescent="0.25">
      <c r="D230" s="4"/>
    </row>
    <row r="231" spans="4:4" x14ac:dyDescent="0.25">
      <c r="D231" s="4"/>
    </row>
    <row r="232" spans="4:4" x14ac:dyDescent="0.25">
      <c r="D232" s="4"/>
    </row>
    <row r="233" spans="4:4" x14ac:dyDescent="0.25">
      <c r="D233" s="4"/>
    </row>
    <row r="234" spans="4:4" x14ac:dyDescent="0.25">
      <c r="D234" s="4"/>
    </row>
    <row r="235" spans="4:4" x14ac:dyDescent="0.25">
      <c r="D235" s="4"/>
    </row>
    <row r="236" spans="4:4" x14ac:dyDescent="0.25">
      <c r="D236" s="4"/>
    </row>
    <row r="237" spans="4:4" x14ac:dyDescent="0.25">
      <c r="D237" s="4"/>
    </row>
    <row r="238" spans="4:4" x14ac:dyDescent="0.25">
      <c r="D238" s="4"/>
    </row>
    <row r="239" spans="4:4" x14ac:dyDescent="0.25">
      <c r="D239" s="4"/>
    </row>
    <row r="240" spans="4:4" x14ac:dyDescent="0.25">
      <c r="D240" s="4"/>
    </row>
    <row r="241" spans="4:4" x14ac:dyDescent="0.25">
      <c r="D241" s="4"/>
    </row>
    <row r="242" spans="4:4" x14ac:dyDescent="0.25">
      <c r="D242" s="4"/>
    </row>
    <row r="243" spans="4:4" x14ac:dyDescent="0.25">
      <c r="D243" s="4"/>
    </row>
    <row r="244" spans="4:4" x14ac:dyDescent="0.25">
      <c r="D244" s="4"/>
    </row>
    <row r="245" spans="4:4" x14ac:dyDescent="0.25">
      <c r="D245" s="4"/>
    </row>
    <row r="246" spans="4:4" x14ac:dyDescent="0.25">
      <c r="D246" s="4"/>
    </row>
    <row r="247" spans="4:4" x14ac:dyDescent="0.25">
      <c r="D247" s="4"/>
    </row>
    <row r="248" spans="4:4" x14ac:dyDescent="0.25">
      <c r="D248" s="4"/>
    </row>
    <row r="249" spans="4:4" x14ac:dyDescent="0.25">
      <c r="D249" s="4"/>
    </row>
    <row r="250" spans="4:4" x14ac:dyDescent="0.25">
      <c r="D250" s="4"/>
    </row>
    <row r="251" spans="4:4" x14ac:dyDescent="0.25">
      <c r="D251" s="4"/>
    </row>
    <row r="252" spans="4:4" x14ac:dyDescent="0.25">
      <c r="D252" s="4"/>
    </row>
    <row r="253" spans="4:4" x14ac:dyDescent="0.25">
      <c r="D253" s="4"/>
    </row>
    <row r="254" spans="4:4" x14ac:dyDescent="0.25">
      <c r="D254" s="4"/>
    </row>
    <row r="255" spans="4:4" x14ac:dyDescent="0.25">
      <c r="D255" s="4"/>
    </row>
    <row r="256" spans="4:4" x14ac:dyDescent="0.25">
      <c r="D256" s="4"/>
    </row>
    <row r="257" spans="4:4" x14ac:dyDescent="0.25">
      <c r="D257" s="4"/>
    </row>
    <row r="258" spans="4:4" x14ac:dyDescent="0.25">
      <c r="D258" s="4"/>
    </row>
    <row r="259" spans="4:4" x14ac:dyDescent="0.25">
      <c r="D259" s="4"/>
    </row>
    <row r="260" spans="4:4" x14ac:dyDescent="0.25">
      <c r="D260" s="4"/>
    </row>
    <row r="261" spans="4:4" x14ac:dyDescent="0.25">
      <c r="D261" s="4"/>
    </row>
    <row r="262" spans="4:4" x14ac:dyDescent="0.25">
      <c r="D262" s="4"/>
    </row>
    <row r="263" spans="4:4" x14ac:dyDescent="0.25">
      <c r="D263" s="4"/>
    </row>
    <row r="264" spans="4:4" x14ac:dyDescent="0.25">
      <c r="D264" s="4"/>
    </row>
    <row r="265" spans="4:4" x14ac:dyDescent="0.25">
      <c r="D265" s="4"/>
    </row>
    <row r="266" spans="4:4" x14ac:dyDescent="0.25">
      <c r="D266" s="4"/>
    </row>
    <row r="267" spans="4:4" x14ac:dyDescent="0.25">
      <c r="D267" s="4"/>
    </row>
    <row r="268" spans="4:4" x14ac:dyDescent="0.25">
      <c r="D268" s="4"/>
    </row>
    <row r="269" spans="4:4" x14ac:dyDescent="0.25">
      <c r="D269" s="4"/>
    </row>
    <row r="270" spans="4:4" x14ac:dyDescent="0.25">
      <c r="D270" s="4"/>
    </row>
    <row r="271" spans="4:4" x14ac:dyDescent="0.25">
      <c r="D271" s="4"/>
    </row>
    <row r="272" spans="4:4" x14ac:dyDescent="0.25">
      <c r="D272" s="4"/>
    </row>
    <row r="273" spans="4:4" x14ac:dyDescent="0.25">
      <c r="D273" s="4"/>
    </row>
    <row r="274" spans="4:4" x14ac:dyDescent="0.25">
      <c r="D274" s="4"/>
    </row>
    <row r="275" spans="4:4" x14ac:dyDescent="0.25">
      <c r="D275" s="4"/>
    </row>
    <row r="276" spans="4:4" x14ac:dyDescent="0.25">
      <c r="D276" s="4"/>
    </row>
    <row r="277" spans="4:4" x14ac:dyDescent="0.25">
      <c r="D277" s="4"/>
    </row>
    <row r="278" spans="4:4" x14ac:dyDescent="0.25">
      <c r="D278" s="4"/>
    </row>
    <row r="279" spans="4:4" x14ac:dyDescent="0.25">
      <c r="D279" s="4"/>
    </row>
    <row r="280" spans="4:4" x14ac:dyDescent="0.25">
      <c r="D280" s="4"/>
    </row>
    <row r="281" spans="4:4" x14ac:dyDescent="0.25">
      <c r="D281" s="4"/>
    </row>
    <row r="282" spans="4:4" x14ac:dyDescent="0.25">
      <c r="D282" s="4"/>
    </row>
    <row r="283" spans="4:4" x14ac:dyDescent="0.25">
      <c r="D283" s="4"/>
    </row>
    <row r="284" spans="4:4" x14ac:dyDescent="0.25">
      <c r="D284" s="4"/>
    </row>
    <row r="285" spans="4:4" x14ac:dyDescent="0.25">
      <c r="D285" s="4"/>
    </row>
    <row r="286" spans="4:4" x14ac:dyDescent="0.25">
      <c r="D286" s="4"/>
    </row>
    <row r="287" spans="4:4" x14ac:dyDescent="0.25">
      <c r="D287" s="4"/>
    </row>
    <row r="288" spans="4:4" x14ac:dyDescent="0.25">
      <c r="D288" s="4"/>
    </row>
    <row r="289" spans="4:4" x14ac:dyDescent="0.25">
      <c r="D289" s="4"/>
    </row>
    <row r="290" spans="4:4" x14ac:dyDescent="0.25">
      <c r="D290" s="4"/>
    </row>
    <row r="291" spans="4:4" x14ac:dyDescent="0.25">
      <c r="D291" s="4"/>
    </row>
    <row r="292" spans="4:4" x14ac:dyDescent="0.25">
      <c r="D292" s="4"/>
    </row>
    <row r="293" spans="4:4" x14ac:dyDescent="0.25">
      <c r="D293" s="4"/>
    </row>
    <row r="294" spans="4:4" x14ac:dyDescent="0.25">
      <c r="D294" s="4"/>
    </row>
    <row r="295" spans="4:4" x14ac:dyDescent="0.25">
      <c r="D295" s="4"/>
    </row>
    <row r="296" spans="4:4" x14ac:dyDescent="0.25">
      <c r="D296" s="4"/>
    </row>
    <row r="297" spans="4:4" x14ac:dyDescent="0.25">
      <c r="D297" s="4"/>
    </row>
    <row r="298" spans="4:4" x14ac:dyDescent="0.25">
      <c r="D298" s="4"/>
    </row>
    <row r="299" spans="4:4" x14ac:dyDescent="0.25">
      <c r="D299" s="4"/>
    </row>
    <row r="300" spans="4:4" x14ac:dyDescent="0.25">
      <c r="D300" s="4"/>
    </row>
    <row r="301" spans="4:4" x14ac:dyDescent="0.25">
      <c r="D301" s="4"/>
    </row>
    <row r="302" spans="4:4" x14ac:dyDescent="0.25">
      <c r="D302" s="4"/>
    </row>
    <row r="303" spans="4:4" x14ac:dyDescent="0.25">
      <c r="D303" s="4"/>
    </row>
    <row r="304" spans="4:4" x14ac:dyDescent="0.25">
      <c r="D304" s="4"/>
    </row>
    <row r="305" spans="4:4" x14ac:dyDescent="0.25">
      <c r="D305" s="4"/>
    </row>
    <row r="306" spans="4:4" x14ac:dyDescent="0.25">
      <c r="D306" s="4"/>
    </row>
    <row r="307" spans="4:4" x14ac:dyDescent="0.25">
      <c r="D307" s="4"/>
    </row>
    <row r="308" spans="4:4" x14ac:dyDescent="0.25">
      <c r="D308" s="4"/>
    </row>
    <row r="309" spans="4:4" x14ac:dyDescent="0.25">
      <c r="D309" s="4"/>
    </row>
    <row r="310" spans="4:4" x14ac:dyDescent="0.25">
      <c r="D310" s="4"/>
    </row>
    <row r="311" spans="4:4" x14ac:dyDescent="0.25">
      <c r="D311" s="4"/>
    </row>
    <row r="312" spans="4:4" x14ac:dyDescent="0.25">
      <c r="D312" s="4"/>
    </row>
    <row r="313" spans="4:4" x14ac:dyDescent="0.25">
      <c r="D313" s="4"/>
    </row>
    <row r="314" spans="4:4" x14ac:dyDescent="0.25">
      <c r="D314" s="4"/>
    </row>
    <row r="315" spans="4:4" x14ac:dyDescent="0.25">
      <c r="D315" s="4"/>
    </row>
    <row r="316" spans="4:4" x14ac:dyDescent="0.25">
      <c r="D316" s="4"/>
    </row>
    <row r="317" spans="4:4" x14ac:dyDescent="0.25">
      <c r="D317" s="4"/>
    </row>
    <row r="318" spans="4:4" x14ac:dyDescent="0.25">
      <c r="D318" s="4"/>
    </row>
    <row r="319" spans="4:4" x14ac:dyDescent="0.25">
      <c r="D319" s="4"/>
    </row>
    <row r="320" spans="4:4" x14ac:dyDescent="0.25">
      <c r="D320" s="4"/>
    </row>
    <row r="321" spans="4:4" x14ac:dyDescent="0.25">
      <c r="D321" s="4"/>
    </row>
    <row r="322" spans="4:4" x14ac:dyDescent="0.25">
      <c r="D322" s="4"/>
    </row>
    <row r="323" spans="4:4" x14ac:dyDescent="0.25">
      <c r="D323" s="4"/>
    </row>
    <row r="324" spans="4:4" x14ac:dyDescent="0.25">
      <c r="D324" s="4"/>
    </row>
    <row r="325" spans="4:4" x14ac:dyDescent="0.25">
      <c r="D325" s="4"/>
    </row>
    <row r="326" spans="4:4" x14ac:dyDescent="0.25">
      <c r="D326" s="4"/>
    </row>
    <row r="327" spans="4:4" x14ac:dyDescent="0.25">
      <c r="D327" s="4"/>
    </row>
    <row r="328" spans="4:4" x14ac:dyDescent="0.25">
      <c r="D328" s="4"/>
    </row>
    <row r="329" spans="4:4" x14ac:dyDescent="0.25">
      <c r="D329" s="4"/>
    </row>
    <row r="330" spans="4:4" x14ac:dyDescent="0.25">
      <c r="D330" s="4"/>
    </row>
    <row r="331" spans="4:4" x14ac:dyDescent="0.25">
      <c r="D331" s="4"/>
    </row>
    <row r="332" spans="4:4" x14ac:dyDescent="0.25">
      <c r="D332" s="4"/>
    </row>
    <row r="333" spans="4:4" x14ac:dyDescent="0.25">
      <c r="D333" s="4"/>
    </row>
    <row r="334" spans="4:4" x14ac:dyDescent="0.25">
      <c r="D334" s="4"/>
    </row>
    <row r="335" spans="4:4" x14ac:dyDescent="0.25">
      <c r="D335" s="4"/>
    </row>
    <row r="336" spans="4:4" x14ac:dyDescent="0.25">
      <c r="D336" s="4"/>
    </row>
    <row r="337" spans="4:4" x14ac:dyDescent="0.25">
      <c r="D337" s="4"/>
    </row>
    <row r="338" spans="4:4" x14ac:dyDescent="0.25">
      <c r="D338" s="4"/>
    </row>
    <row r="339" spans="4:4" x14ac:dyDescent="0.25">
      <c r="D339" s="4"/>
    </row>
    <row r="340" spans="4:4" x14ac:dyDescent="0.25">
      <c r="D340" s="4"/>
    </row>
    <row r="341" spans="4:4" x14ac:dyDescent="0.25">
      <c r="D341" s="4"/>
    </row>
    <row r="342" spans="4:4" x14ac:dyDescent="0.25">
      <c r="D342" s="4"/>
    </row>
    <row r="343" spans="4:4" x14ac:dyDescent="0.25">
      <c r="D343" s="4"/>
    </row>
    <row r="344" spans="4:4" x14ac:dyDescent="0.25">
      <c r="D344" s="4"/>
    </row>
    <row r="345" spans="4:4" x14ac:dyDescent="0.25">
      <c r="D345" s="4"/>
    </row>
    <row r="346" spans="4:4" x14ac:dyDescent="0.25">
      <c r="D346" s="4"/>
    </row>
    <row r="347" spans="4:4" x14ac:dyDescent="0.25">
      <c r="D347" s="4"/>
    </row>
    <row r="348" spans="4:4" x14ac:dyDescent="0.25">
      <c r="D348" s="4"/>
    </row>
    <row r="349" spans="4:4" x14ac:dyDescent="0.25">
      <c r="D349" s="4"/>
    </row>
    <row r="350" spans="4:4" x14ac:dyDescent="0.25">
      <c r="D350" s="4"/>
    </row>
    <row r="351" spans="4:4" x14ac:dyDescent="0.25">
      <c r="D351" s="4"/>
    </row>
    <row r="352" spans="4:4" x14ac:dyDescent="0.25">
      <c r="D352" s="4"/>
    </row>
    <row r="353" spans="4:4" x14ac:dyDescent="0.25">
      <c r="D353" s="4"/>
    </row>
    <row r="354" spans="4:4" x14ac:dyDescent="0.25">
      <c r="D354" s="4"/>
    </row>
    <row r="355" spans="4:4" x14ac:dyDescent="0.25">
      <c r="D355" s="4"/>
    </row>
    <row r="356" spans="4:4" x14ac:dyDescent="0.25">
      <c r="D356" s="4"/>
    </row>
    <row r="357" spans="4:4" x14ac:dyDescent="0.25">
      <c r="D357" s="4"/>
    </row>
    <row r="358" spans="4:4" x14ac:dyDescent="0.25">
      <c r="D358" s="4"/>
    </row>
    <row r="359" spans="4:4" x14ac:dyDescent="0.25">
      <c r="D359" s="4"/>
    </row>
    <row r="360" spans="4:4" x14ac:dyDescent="0.25">
      <c r="D360" s="4"/>
    </row>
    <row r="361" spans="4:4" x14ac:dyDescent="0.25">
      <c r="D361" s="4"/>
    </row>
    <row r="362" spans="4:4" x14ac:dyDescent="0.25">
      <c r="D362" s="4"/>
    </row>
    <row r="363" spans="4:4" x14ac:dyDescent="0.25">
      <c r="D363" s="4"/>
    </row>
    <row r="364" spans="4:4" x14ac:dyDescent="0.25">
      <c r="D364" s="4"/>
    </row>
    <row r="365" spans="4:4" x14ac:dyDescent="0.25">
      <c r="D365" s="4"/>
    </row>
    <row r="366" spans="4:4" x14ac:dyDescent="0.25">
      <c r="D366" s="4"/>
    </row>
    <row r="367" spans="4:4" x14ac:dyDescent="0.25">
      <c r="D367" s="4"/>
    </row>
    <row r="368" spans="4:4" x14ac:dyDescent="0.25">
      <c r="D368" s="4"/>
    </row>
    <row r="369" spans="4:4" x14ac:dyDescent="0.25">
      <c r="D369" s="4"/>
    </row>
    <row r="370" spans="4:4" x14ac:dyDescent="0.25">
      <c r="D370" s="4"/>
    </row>
    <row r="371" spans="4:4" x14ac:dyDescent="0.25">
      <c r="D371" s="4"/>
    </row>
    <row r="372" spans="4:4" x14ac:dyDescent="0.25">
      <c r="D372" s="4"/>
    </row>
    <row r="373" spans="4:4" x14ac:dyDescent="0.25">
      <c r="D373" s="4"/>
    </row>
    <row r="374" spans="4:4" x14ac:dyDescent="0.25">
      <c r="D374" s="4"/>
    </row>
    <row r="375" spans="4:4" x14ac:dyDescent="0.25">
      <c r="D375" s="4"/>
    </row>
    <row r="376" spans="4:4" x14ac:dyDescent="0.25">
      <c r="D376" s="4"/>
    </row>
    <row r="377" spans="4:4" x14ac:dyDescent="0.25">
      <c r="D377" s="4"/>
    </row>
    <row r="378" spans="4:4" x14ac:dyDescent="0.25">
      <c r="D378" s="4"/>
    </row>
    <row r="379" spans="4:4" x14ac:dyDescent="0.25">
      <c r="D379" s="4"/>
    </row>
    <row r="380" spans="4:4" x14ac:dyDescent="0.25">
      <c r="D380" s="4"/>
    </row>
    <row r="381" spans="4:4" x14ac:dyDescent="0.25">
      <c r="D381" s="4"/>
    </row>
    <row r="382" spans="4:4" x14ac:dyDescent="0.25">
      <c r="D382" s="4"/>
    </row>
    <row r="383" spans="4:4" x14ac:dyDescent="0.25">
      <c r="D383" s="4"/>
    </row>
    <row r="384" spans="4:4" x14ac:dyDescent="0.25">
      <c r="D384" s="4"/>
    </row>
    <row r="385" spans="4:4" x14ac:dyDescent="0.25">
      <c r="D385" s="4"/>
    </row>
    <row r="386" spans="4:4" x14ac:dyDescent="0.25">
      <c r="D386" s="4"/>
    </row>
    <row r="387" spans="4:4" x14ac:dyDescent="0.25">
      <c r="D387" s="4"/>
    </row>
    <row r="388" spans="4:4" x14ac:dyDescent="0.25">
      <c r="D388" s="4"/>
    </row>
    <row r="389" spans="4:4" x14ac:dyDescent="0.25">
      <c r="D389" s="4"/>
    </row>
    <row r="390" spans="4:4" x14ac:dyDescent="0.25">
      <c r="D390" s="4"/>
    </row>
    <row r="391" spans="4:4" x14ac:dyDescent="0.25">
      <c r="D391" s="4"/>
    </row>
    <row r="392" spans="4:4" x14ac:dyDescent="0.25">
      <c r="D392" s="4"/>
    </row>
    <row r="393" spans="4:4" x14ac:dyDescent="0.25">
      <c r="D393" s="4"/>
    </row>
    <row r="394" spans="4:4" x14ac:dyDescent="0.25">
      <c r="D394" s="4"/>
    </row>
    <row r="395" spans="4:4" x14ac:dyDescent="0.25">
      <c r="D395" s="4"/>
    </row>
    <row r="396" spans="4:4" x14ac:dyDescent="0.25">
      <c r="D396" s="4"/>
    </row>
    <row r="397" spans="4:4" x14ac:dyDescent="0.25">
      <c r="D397" s="4"/>
    </row>
    <row r="398" spans="4:4" x14ac:dyDescent="0.25">
      <c r="D398" s="4"/>
    </row>
    <row r="399" spans="4:4" x14ac:dyDescent="0.25">
      <c r="D399" s="4"/>
    </row>
    <row r="400" spans="4:4" x14ac:dyDescent="0.25">
      <c r="D400" s="4"/>
    </row>
    <row r="401" spans="4:4" x14ac:dyDescent="0.25">
      <c r="D401" s="4"/>
    </row>
    <row r="402" spans="4:4" x14ac:dyDescent="0.25">
      <c r="D402" s="4"/>
    </row>
    <row r="403" spans="4:4" x14ac:dyDescent="0.25">
      <c r="D403" s="4"/>
    </row>
    <row r="404" spans="4:4" x14ac:dyDescent="0.25">
      <c r="D404" s="4"/>
    </row>
    <row r="405" spans="4:4" x14ac:dyDescent="0.25">
      <c r="D405" s="4"/>
    </row>
    <row r="406" spans="4:4" x14ac:dyDescent="0.25">
      <c r="D406" s="4"/>
    </row>
    <row r="407" spans="4:4" x14ac:dyDescent="0.25">
      <c r="D407" s="4"/>
    </row>
    <row r="408" spans="4:4" x14ac:dyDescent="0.25">
      <c r="D408" s="4"/>
    </row>
    <row r="409" spans="4:4" x14ac:dyDescent="0.25">
      <c r="D409" s="4"/>
    </row>
    <row r="410" spans="4:4" x14ac:dyDescent="0.25">
      <c r="D410" s="4"/>
    </row>
    <row r="411" spans="4:4" x14ac:dyDescent="0.25">
      <c r="D411" s="4"/>
    </row>
    <row r="412" spans="4:4" x14ac:dyDescent="0.25">
      <c r="D412" s="4"/>
    </row>
    <row r="413" spans="4:4" x14ac:dyDescent="0.25">
      <c r="D413" s="4"/>
    </row>
    <row r="414" spans="4:4" x14ac:dyDescent="0.25">
      <c r="D414" s="4"/>
    </row>
    <row r="415" spans="4:4" x14ac:dyDescent="0.25">
      <c r="D415" s="4"/>
    </row>
    <row r="416" spans="4:4" x14ac:dyDescent="0.25">
      <c r="D416" s="4"/>
    </row>
    <row r="417" spans="4:4" x14ac:dyDescent="0.25">
      <c r="D417" s="4"/>
    </row>
    <row r="418" spans="4:4" x14ac:dyDescent="0.25">
      <c r="D418" s="4"/>
    </row>
    <row r="419" spans="4:4" x14ac:dyDescent="0.25">
      <c r="D419" s="4"/>
    </row>
    <row r="420" spans="4:4" x14ac:dyDescent="0.25">
      <c r="D420" s="4"/>
    </row>
    <row r="421" spans="4:4" x14ac:dyDescent="0.25">
      <c r="D421" s="4"/>
    </row>
    <row r="422" spans="4:4" x14ac:dyDescent="0.25">
      <c r="D422" s="4"/>
    </row>
    <row r="423" spans="4:4" x14ac:dyDescent="0.25">
      <c r="D423" s="4"/>
    </row>
    <row r="424" spans="4:4" x14ac:dyDescent="0.25">
      <c r="D424" s="4"/>
    </row>
    <row r="425" spans="4:4" x14ac:dyDescent="0.25">
      <c r="D425" s="4"/>
    </row>
    <row r="426" spans="4:4" x14ac:dyDescent="0.25">
      <c r="D426" s="4"/>
    </row>
    <row r="427" spans="4:4" x14ac:dyDescent="0.25">
      <c r="D427" s="4"/>
    </row>
    <row r="428" spans="4:4" x14ac:dyDescent="0.25">
      <c r="D428" s="4"/>
    </row>
    <row r="429" spans="4:4" x14ac:dyDescent="0.25">
      <c r="D429" s="4"/>
    </row>
    <row r="430" spans="4:4" x14ac:dyDescent="0.25">
      <c r="D430" s="4"/>
    </row>
    <row r="431" spans="4:4" x14ac:dyDescent="0.25">
      <c r="D431" s="4"/>
    </row>
    <row r="432" spans="4:4" x14ac:dyDescent="0.25">
      <c r="D432" s="4"/>
    </row>
    <row r="433" spans="4:4" x14ac:dyDescent="0.25">
      <c r="D433" s="4"/>
    </row>
    <row r="434" spans="4:4" x14ac:dyDescent="0.25">
      <c r="D434" s="4"/>
    </row>
    <row r="435" spans="4:4" x14ac:dyDescent="0.25">
      <c r="D435" s="4"/>
    </row>
    <row r="436" spans="4:4" x14ac:dyDescent="0.25">
      <c r="D436" s="4"/>
    </row>
    <row r="437" spans="4:4" x14ac:dyDescent="0.25">
      <c r="D437" s="4"/>
    </row>
    <row r="438" spans="4:4" x14ac:dyDescent="0.25">
      <c r="D438" s="4"/>
    </row>
    <row r="439" spans="4:4" x14ac:dyDescent="0.25">
      <c r="D439" s="4"/>
    </row>
    <row r="440" spans="4:4" x14ac:dyDescent="0.25">
      <c r="D440" s="4"/>
    </row>
    <row r="441" spans="4:4" x14ac:dyDescent="0.25">
      <c r="D441" s="4"/>
    </row>
    <row r="442" spans="4:4" x14ac:dyDescent="0.25">
      <c r="D442" s="4"/>
    </row>
    <row r="443" spans="4:4" x14ac:dyDescent="0.25">
      <c r="D443" s="4"/>
    </row>
    <row r="444" spans="4:4" x14ac:dyDescent="0.25">
      <c r="D444" s="4"/>
    </row>
    <row r="445" spans="4:4" x14ac:dyDescent="0.25">
      <c r="D445" s="4"/>
    </row>
    <row r="446" spans="4:4" x14ac:dyDescent="0.25">
      <c r="D446" s="4"/>
    </row>
    <row r="447" spans="4:4" x14ac:dyDescent="0.25">
      <c r="D447" s="4"/>
    </row>
    <row r="448" spans="4:4" x14ac:dyDescent="0.25">
      <c r="D448" s="4"/>
    </row>
    <row r="449" spans="4:4" x14ac:dyDescent="0.25">
      <c r="D449" s="4"/>
    </row>
    <row r="450" spans="4:4" x14ac:dyDescent="0.25">
      <c r="D450" s="4"/>
    </row>
    <row r="451" spans="4:4" x14ac:dyDescent="0.25">
      <c r="D451" s="4"/>
    </row>
    <row r="452" spans="4:4" x14ac:dyDescent="0.25">
      <c r="D452" s="4"/>
    </row>
    <row r="453" spans="4:4" x14ac:dyDescent="0.25">
      <c r="D453" s="4"/>
    </row>
    <row r="454" spans="4:4" x14ac:dyDescent="0.25">
      <c r="D454" s="4"/>
    </row>
    <row r="455" spans="4:4" x14ac:dyDescent="0.25">
      <c r="D455" s="4"/>
    </row>
    <row r="456" spans="4:4" x14ac:dyDescent="0.25">
      <c r="D456" s="4"/>
    </row>
    <row r="457" spans="4:4" x14ac:dyDescent="0.25">
      <c r="D457" s="4"/>
    </row>
    <row r="458" spans="4:4" x14ac:dyDescent="0.25">
      <c r="D458" s="4"/>
    </row>
    <row r="459" spans="4:4" x14ac:dyDescent="0.25">
      <c r="D459" s="4"/>
    </row>
    <row r="460" spans="4:4" x14ac:dyDescent="0.25">
      <c r="D460" s="4"/>
    </row>
    <row r="461" spans="4:4" x14ac:dyDescent="0.25">
      <c r="D461" s="4"/>
    </row>
    <row r="462" spans="4:4" x14ac:dyDescent="0.25">
      <c r="D462" s="4"/>
    </row>
    <row r="463" spans="4:4" x14ac:dyDescent="0.25">
      <c r="D463" s="4"/>
    </row>
    <row r="464" spans="4:4" x14ac:dyDescent="0.25">
      <c r="D464" s="4"/>
    </row>
    <row r="465" spans="4:4" x14ac:dyDescent="0.25">
      <c r="D465" s="4"/>
    </row>
    <row r="466" spans="4:4" x14ac:dyDescent="0.25">
      <c r="D466" s="4"/>
    </row>
    <row r="467" spans="4:4" x14ac:dyDescent="0.25">
      <c r="D467" s="4"/>
    </row>
    <row r="468" spans="4:4" x14ac:dyDescent="0.25">
      <c r="D468" s="4"/>
    </row>
    <row r="469" spans="4:4" x14ac:dyDescent="0.25">
      <c r="D469" s="4"/>
    </row>
    <row r="470" spans="4:4" x14ac:dyDescent="0.25">
      <c r="D470" s="4"/>
    </row>
    <row r="471" spans="4:4" x14ac:dyDescent="0.25">
      <c r="D471" s="4"/>
    </row>
    <row r="472" spans="4:4" x14ac:dyDescent="0.25">
      <c r="D472" s="4"/>
    </row>
    <row r="473" spans="4:4" x14ac:dyDescent="0.25">
      <c r="D473" s="4"/>
    </row>
    <row r="474" spans="4:4" x14ac:dyDescent="0.25">
      <c r="D474" s="4"/>
    </row>
    <row r="475" spans="4:4" x14ac:dyDescent="0.25">
      <c r="D475" s="4"/>
    </row>
    <row r="476" spans="4:4" x14ac:dyDescent="0.25">
      <c r="D476" s="4"/>
    </row>
    <row r="477" spans="4:4" x14ac:dyDescent="0.25">
      <c r="D477" s="4"/>
    </row>
    <row r="478" spans="4:4" x14ac:dyDescent="0.25">
      <c r="D478" s="4"/>
    </row>
    <row r="479" spans="4:4" x14ac:dyDescent="0.25">
      <c r="D479" s="4"/>
    </row>
    <row r="480" spans="4:4" x14ac:dyDescent="0.25">
      <c r="D480" s="4"/>
    </row>
    <row r="481" spans="4:4" x14ac:dyDescent="0.25">
      <c r="D481" s="4"/>
    </row>
    <row r="482" spans="4:4" x14ac:dyDescent="0.25">
      <c r="D482" s="4"/>
    </row>
    <row r="483" spans="4:4" x14ac:dyDescent="0.25">
      <c r="D483" s="4"/>
    </row>
    <row r="484" spans="4:4" x14ac:dyDescent="0.25">
      <c r="D484" s="4"/>
    </row>
    <row r="485" spans="4:4" x14ac:dyDescent="0.25">
      <c r="D485" s="4"/>
    </row>
    <row r="486" spans="4:4" x14ac:dyDescent="0.25">
      <c r="D486" s="4"/>
    </row>
    <row r="487" spans="4:4" x14ac:dyDescent="0.25">
      <c r="D487" s="4"/>
    </row>
    <row r="488" spans="4:4" x14ac:dyDescent="0.25">
      <c r="D488" s="4"/>
    </row>
    <row r="489" spans="4:4" x14ac:dyDescent="0.25">
      <c r="D489" s="4"/>
    </row>
    <row r="490" spans="4:4" x14ac:dyDescent="0.25">
      <c r="D490" s="4"/>
    </row>
    <row r="491" spans="4:4" x14ac:dyDescent="0.25">
      <c r="D491" s="4"/>
    </row>
    <row r="492" spans="4:4" x14ac:dyDescent="0.25">
      <c r="D492" s="4"/>
    </row>
    <row r="493" spans="4:4" x14ac:dyDescent="0.25">
      <c r="D493" s="4"/>
    </row>
    <row r="494" spans="4:4" x14ac:dyDescent="0.25">
      <c r="D494" s="4"/>
    </row>
    <row r="495" spans="4:4" x14ac:dyDescent="0.25">
      <c r="D495" s="4"/>
    </row>
    <row r="496" spans="4:4" x14ac:dyDescent="0.25">
      <c r="D496" s="4"/>
    </row>
    <row r="497" spans="4:4" x14ac:dyDescent="0.25">
      <c r="D497" s="4"/>
    </row>
    <row r="498" spans="4:4" x14ac:dyDescent="0.25">
      <c r="D498" s="4"/>
    </row>
    <row r="499" spans="4:4" x14ac:dyDescent="0.25">
      <c r="D499" s="4"/>
    </row>
    <row r="500" spans="4:4" x14ac:dyDescent="0.25">
      <c r="D500" s="4"/>
    </row>
    <row r="501" spans="4:4" x14ac:dyDescent="0.25">
      <c r="D501" s="4"/>
    </row>
    <row r="502" spans="4:4" x14ac:dyDescent="0.25">
      <c r="D502" s="4"/>
    </row>
    <row r="503" spans="4:4" x14ac:dyDescent="0.25">
      <c r="D503" s="4"/>
    </row>
    <row r="504" spans="4:4" x14ac:dyDescent="0.25">
      <c r="D504" s="4"/>
    </row>
    <row r="505" spans="4:4" x14ac:dyDescent="0.25">
      <c r="D505" s="4"/>
    </row>
    <row r="506" spans="4:4" x14ac:dyDescent="0.25">
      <c r="D506" s="4"/>
    </row>
    <row r="507" spans="4:4" x14ac:dyDescent="0.25">
      <c r="D507" s="4"/>
    </row>
    <row r="508" spans="4:4" x14ac:dyDescent="0.25">
      <c r="D508" s="4"/>
    </row>
    <row r="509" spans="4:4" x14ac:dyDescent="0.25">
      <c r="D509" s="4"/>
    </row>
    <row r="510" spans="4:4" x14ac:dyDescent="0.25">
      <c r="D510" s="4"/>
    </row>
    <row r="511" spans="4:4" x14ac:dyDescent="0.25">
      <c r="D511" s="4"/>
    </row>
    <row r="512" spans="4:4" x14ac:dyDescent="0.25">
      <c r="D512" s="4"/>
    </row>
    <row r="513" spans="4:4" x14ac:dyDescent="0.25">
      <c r="D513" s="4"/>
    </row>
    <row r="514" spans="4:4" x14ac:dyDescent="0.25">
      <c r="D514" s="4"/>
    </row>
    <row r="515" spans="4:4" x14ac:dyDescent="0.25">
      <c r="D515" s="4"/>
    </row>
    <row r="516" spans="4:4" x14ac:dyDescent="0.25">
      <c r="D516" s="4"/>
    </row>
    <row r="517" spans="4:4" x14ac:dyDescent="0.25">
      <c r="D517" s="4"/>
    </row>
    <row r="518" spans="4:4" x14ac:dyDescent="0.25">
      <c r="D518" s="4"/>
    </row>
    <row r="519" spans="4:4" x14ac:dyDescent="0.25">
      <c r="D519" s="4"/>
    </row>
    <row r="520" spans="4:4" x14ac:dyDescent="0.25">
      <c r="D520" s="4"/>
    </row>
    <row r="521" spans="4:4" x14ac:dyDescent="0.25">
      <c r="D521" s="4"/>
    </row>
    <row r="522" spans="4:4" x14ac:dyDescent="0.25">
      <c r="D522" s="4"/>
    </row>
    <row r="523" spans="4:4" x14ac:dyDescent="0.25">
      <c r="D523" s="4"/>
    </row>
    <row r="524" spans="4:4" x14ac:dyDescent="0.25">
      <c r="D524" s="4"/>
    </row>
    <row r="525" spans="4:4" x14ac:dyDescent="0.25">
      <c r="D525" s="4"/>
    </row>
    <row r="526" spans="4:4" x14ac:dyDescent="0.25">
      <c r="D526" s="4"/>
    </row>
    <row r="527" spans="4:4" x14ac:dyDescent="0.25">
      <c r="D527" s="4"/>
    </row>
    <row r="528" spans="4:4" x14ac:dyDescent="0.25">
      <c r="D528" s="4"/>
    </row>
    <row r="529" spans="4:4" x14ac:dyDescent="0.25">
      <c r="D529" s="4"/>
    </row>
    <row r="530" spans="4:4" x14ac:dyDescent="0.25">
      <c r="D530" s="4"/>
    </row>
    <row r="531" spans="4:4" x14ac:dyDescent="0.25">
      <c r="D531" s="4"/>
    </row>
    <row r="532" spans="4:4" x14ac:dyDescent="0.25">
      <c r="D532" s="4"/>
    </row>
    <row r="533" spans="4:4" x14ac:dyDescent="0.25">
      <c r="D533" s="4"/>
    </row>
    <row r="534" spans="4:4" x14ac:dyDescent="0.25">
      <c r="D534" s="4"/>
    </row>
    <row r="535" spans="4:4" x14ac:dyDescent="0.25">
      <c r="D535" s="4"/>
    </row>
    <row r="536" spans="4:4" x14ac:dyDescent="0.25">
      <c r="D536" s="4"/>
    </row>
    <row r="537" spans="4:4" x14ac:dyDescent="0.25">
      <c r="D537" s="4"/>
    </row>
    <row r="538" spans="4:4" x14ac:dyDescent="0.25">
      <c r="D538" s="4"/>
    </row>
    <row r="539" spans="4:4" x14ac:dyDescent="0.25">
      <c r="D539" s="4"/>
    </row>
    <row r="540" spans="4:4" x14ac:dyDescent="0.25">
      <c r="D540" s="4"/>
    </row>
    <row r="541" spans="4:4" x14ac:dyDescent="0.25">
      <c r="D541" s="4"/>
    </row>
    <row r="542" spans="4:4" x14ac:dyDescent="0.25">
      <c r="D542" s="4"/>
    </row>
    <row r="543" spans="4:4" x14ac:dyDescent="0.25">
      <c r="D543" s="4"/>
    </row>
    <row r="544" spans="4:4" x14ac:dyDescent="0.25">
      <c r="D544" s="4"/>
    </row>
    <row r="545" spans="4:4" x14ac:dyDescent="0.25">
      <c r="D545" s="4"/>
    </row>
    <row r="546" spans="4:4" x14ac:dyDescent="0.25">
      <c r="D546" s="4"/>
    </row>
    <row r="547" spans="4:4" x14ac:dyDescent="0.25">
      <c r="D547" s="4"/>
    </row>
    <row r="548" spans="4:4" x14ac:dyDescent="0.25">
      <c r="D548" s="4"/>
    </row>
    <row r="549" spans="4:4" x14ac:dyDescent="0.25">
      <c r="D549" s="4"/>
    </row>
    <row r="550" spans="4:4" x14ac:dyDescent="0.25">
      <c r="D550" s="4"/>
    </row>
    <row r="551" spans="4:4" x14ac:dyDescent="0.25">
      <c r="D551" s="4"/>
    </row>
    <row r="552" spans="4:4" x14ac:dyDescent="0.25">
      <c r="D552" s="4"/>
    </row>
    <row r="553" spans="4:4" x14ac:dyDescent="0.25">
      <c r="D553" s="4"/>
    </row>
    <row r="554" spans="4:4" x14ac:dyDescent="0.25">
      <c r="D554" s="4"/>
    </row>
    <row r="555" spans="4:4" x14ac:dyDescent="0.25">
      <c r="D555" s="4"/>
    </row>
    <row r="556" spans="4:4" x14ac:dyDescent="0.25">
      <c r="D556" s="4"/>
    </row>
    <row r="557" spans="4:4" x14ac:dyDescent="0.25">
      <c r="D557" s="4"/>
    </row>
    <row r="558" spans="4:4" x14ac:dyDescent="0.25">
      <c r="D558" s="4"/>
    </row>
    <row r="559" spans="4:4" x14ac:dyDescent="0.25">
      <c r="D559" s="4"/>
    </row>
    <row r="560" spans="4:4" x14ac:dyDescent="0.25">
      <c r="D560" s="4"/>
    </row>
    <row r="561" spans="4:4" x14ac:dyDescent="0.25">
      <c r="D561" s="4"/>
    </row>
    <row r="562" spans="4:4" x14ac:dyDescent="0.25">
      <c r="D562" s="4"/>
    </row>
    <row r="563" spans="4:4" x14ac:dyDescent="0.25">
      <c r="D563" s="4"/>
    </row>
    <row r="564" spans="4:4" x14ac:dyDescent="0.25">
      <c r="D564" s="4"/>
    </row>
    <row r="565" spans="4:4" x14ac:dyDescent="0.25">
      <c r="D565" s="4"/>
    </row>
    <row r="566" spans="4:4" x14ac:dyDescent="0.25">
      <c r="D566" s="4"/>
    </row>
    <row r="567" spans="4:4" x14ac:dyDescent="0.25">
      <c r="D567" s="4"/>
    </row>
    <row r="568" spans="4:4" x14ac:dyDescent="0.25">
      <c r="D568" s="4"/>
    </row>
    <row r="569" spans="4:4" x14ac:dyDescent="0.25">
      <c r="D569" s="4"/>
    </row>
    <row r="570" spans="4:4" x14ac:dyDescent="0.25">
      <c r="D570" s="4"/>
    </row>
    <row r="571" spans="4:4" x14ac:dyDescent="0.25">
      <c r="D571" s="4"/>
    </row>
    <row r="572" spans="4:4" x14ac:dyDescent="0.25">
      <c r="D572" s="4"/>
    </row>
    <row r="573" spans="4:4" x14ac:dyDescent="0.25">
      <c r="D573" s="4"/>
    </row>
    <row r="574" spans="4:4" x14ac:dyDescent="0.25">
      <c r="D574" s="4"/>
    </row>
    <row r="575" spans="4:4" x14ac:dyDescent="0.25">
      <c r="D575" s="4"/>
    </row>
    <row r="576" spans="4:4" x14ac:dyDescent="0.25">
      <c r="D576" s="4"/>
    </row>
    <row r="577" spans="4:4" x14ac:dyDescent="0.25">
      <c r="D577" s="4"/>
    </row>
    <row r="578" spans="4:4" x14ac:dyDescent="0.25">
      <c r="D578" s="4"/>
    </row>
    <row r="579" spans="4:4" x14ac:dyDescent="0.25">
      <c r="D579" s="4"/>
    </row>
    <row r="580" spans="4:4" x14ac:dyDescent="0.25">
      <c r="D580" s="4"/>
    </row>
    <row r="581" spans="4:4" x14ac:dyDescent="0.25">
      <c r="D581" s="4"/>
    </row>
    <row r="582" spans="4:4" x14ac:dyDescent="0.25">
      <c r="D582" s="4"/>
    </row>
    <row r="583" spans="4:4" x14ac:dyDescent="0.25">
      <c r="D583" s="4"/>
    </row>
    <row r="584" spans="4:4" x14ac:dyDescent="0.25">
      <c r="D584" s="4"/>
    </row>
    <row r="585" spans="4:4" x14ac:dyDescent="0.25">
      <c r="D585" s="4"/>
    </row>
    <row r="586" spans="4:4" x14ac:dyDescent="0.25">
      <c r="D586" s="4"/>
    </row>
    <row r="587" spans="4:4" x14ac:dyDescent="0.25">
      <c r="D587" s="4"/>
    </row>
    <row r="588" spans="4:4" x14ac:dyDescent="0.25">
      <c r="D588" s="4"/>
    </row>
    <row r="589" spans="4:4" x14ac:dyDescent="0.25">
      <c r="D589" s="4"/>
    </row>
    <row r="590" spans="4:4" x14ac:dyDescent="0.25">
      <c r="D590" s="4"/>
    </row>
    <row r="591" spans="4:4" x14ac:dyDescent="0.25">
      <c r="D591" s="4"/>
    </row>
    <row r="592" spans="4:4" x14ac:dyDescent="0.25">
      <c r="D592" s="4"/>
    </row>
    <row r="593" spans="4:4" x14ac:dyDescent="0.25">
      <c r="D593" s="4"/>
    </row>
    <row r="594" spans="4:4" x14ac:dyDescent="0.25">
      <c r="D594" s="4"/>
    </row>
    <row r="595" spans="4:4" x14ac:dyDescent="0.25">
      <c r="D595" s="4"/>
    </row>
    <row r="596" spans="4:4" x14ac:dyDescent="0.25">
      <c r="D596" s="4"/>
    </row>
    <row r="597" spans="4:4" x14ac:dyDescent="0.25">
      <c r="D597" s="4"/>
    </row>
    <row r="598" spans="4:4" x14ac:dyDescent="0.25">
      <c r="D598" s="4"/>
    </row>
    <row r="599" spans="4:4" x14ac:dyDescent="0.25">
      <c r="D599" s="4"/>
    </row>
    <row r="600" spans="4:4" x14ac:dyDescent="0.25">
      <c r="D600" s="4"/>
    </row>
    <row r="601" spans="4:4" x14ac:dyDescent="0.25">
      <c r="D601" s="4"/>
    </row>
    <row r="602" spans="4:4" x14ac:dyDescent="0.25">
      <c r="D602" s="4"/>
    </row>
    <row r="603" spans="4:4" x14ac:dyDescent="0.25">
      <c r="D603" s="4"/>
    </row>
    <row r="604" spans="4:4" x14ac:dyDescent="0.25">
      <c r="D604" s="4"/>
    </row>
    <row r="605" spans="4:4" x14ac:dyDescent="0.25">
      <c r="D605" s="4"/>
    </row>
    <row r="606" spans="4:4" x14ac:dyDescent="0.25">
      <c r="D606" s="4"/>
    </row>
    <row r="607" spans="4:4" x14ac:dyDescent="0.25">
      <c r="D607" s="4"/>
    </row>
    <row r="608" spans="4:4" x14ac:dyDescent="0.25">
      <c r="D608" s="4"/>
    </row>
    <row r="609" spans="4:4" x14ac:dyDescent="0.25">
      <c r="D609" s="4"/>
    </row>
    <row r="610" spans="4:4" x14ac:dyDescent="0.25">
      <c r="D610" s="4"/>
    </row>
    <row r="611" spans="4:4" x14ac:dyDescent="0.25">
      <c r="D611" s="4"/>
    </row>
    <row r="612" spans="4:4" x14ac:dyDescent="0.25">
      <c r="D612" s="4"/>
    </row>
    <row r="613" spans="4:4" x14ac:dyDescent="0.25">
      <c r="D613" s="4"/>
    </row>
    <row r="614" spans="4:4" x14ac:dyDescent="0.25">
      <c r="D614" s="4"/>
    </row>
    <row r="615" spans="4:4" x14ac:dyDescent="0.25">
      <c r="D615" s="4"/>
    </row>
    <row r="616" spans="4:4" x14ac:dyDescent="0.25">
      <c r="D616" s="4"/>
    </row>
    <row r="617" spans="4:4" x14ac:dyDescent="0.25">
      <c r="D617" s="4"/>
    </row>
    <row r="618" spans="4:4" x14ac:dyDescent="0.25">
      <c r="D618" s="4"/>
    </row>
    <row r="619" spans="4:4" x14ac:dyDescent="0.25">
      <c r="D619" s="4"/>
    </row>
    <row r="620" spans="4:4" x14ac:dyDescent="0.25">
      <c r="D620" s="4"/>
    </row>
    <row r="621" spans="4:4" x14ac:dyDescent="0.25">
      <c r="D621" s="4"/>
    </row>
    <row r="622" spans="4:4" x14ac:dyDescent="0.25">
      <c r="D622" s="4"/>
    </row>
    <row r="623" spans="4:4" x14ac:dyDescent="0.25">
      <c r="D623" s="4"/>
    </row>
    <row r="624" spans="4:4" x14ac:dyDescent="0.25">
      <c r="D624" s="4"/>
    </row>
    <row r="625" spans="4:4" x14ac:dyDescent="0.25">
      <c r="D625" s="4"/>
    </row>
    <row r="626" spans="4:4" x14ac:dyDescent="0.25">
      <c r="D626" s="4"/>
    </row>
    <row r="627" spans="4:4" x14ac:dyDescent="0.25">
      <c r="D627" s="4"/>
    </row>
    <row r="628" spans="4:4" x14ac:dyDescent="0.25">
      <c r="D628" s="4"/>
    </row>
    <row r="629" spans="4:4" x14ac:dyDescent="0.25">
      <c r="D629" s="4"/>
    </row>
    <row r="630" spans="4:4" x14ac:dyDescent="0.25">
      <c r="D630" s="4"/>
    </row>
    <row r="631" spans="4:4" x14ac:dyDescent="0.25">
      <c r="D631" s="4"/>
    </row>
    <row r="632" spans="4:4" x14ac:dyDescent="0.25">
      <c r="D632" s="4"/>
    </row>
    <row r="633" spans="4:4" x14ac:dyDescent="0.25">
      <c r="D633" s="4"/>
    </row>
    <row r="634" spans="4:4" x14ac:dyDescent="0.25">
      <c r="D634" s="4"/>
    </row>
    <row r="635" spans="4:4" x14ac:dyDescent="0.25">
      <c r="D635" s="4"/>
    </row>
    <row r="636" spans="4:4" x14ac:dyDescent="0.25">
      <c r="D636" s="4"/>
    </row>
    <row r="637" spans="4:4" x14ac:dyDescent="0.25">
      <c r="D637" s="4"/>
    </row>
    <row r="638" spans="4:4" x14ac:dyDescent="0.25">
      <c r="D638" s="4"/>
    </row>
    <row r="639" spans="4:4" x14ac:dyDescent="0.25">
      <c r="D639" s="4"/>
    </row>
    <row r="640" spans="4:4" x14ac:dyDescent="0.25">
      <c r="D640" s="4"/>
    </row>
    <row r="641" spans="4:4" x14ac:dyDescent="0.25">
      <c r="D641" s="4"/>
    </row>
    <row r="642" spans="4:4" x14ac:dyDescent="0.25">
      <c r="D642" s="4"/>
    </row>
    <row r="643" spans="4:4" x14ac:dyDescent="0.25">
      <c r="D643" s="4"/>
    </row>
    <row r="644" spans="4:4" x14ac:dyDescent="0.25">
      <c r="D644" s="4"/>
    </row>
    <row r="645" spans="4:4" x14ac:dyDescent="0.25">
      <c r="D645" s="4"/>
    </row>
    <row r="646" spans="4:4" x14ac:dyDescent="0.25">
      <c r="D646" s="4"/>
    </row>
    <row r="647" spans="4:4" x14ac:dyDescent="0.25">
      <c r="D647" s="4"/>
    </row>
    <row r="648" spans="4:4" x14ac:dyDescent="0.25">
      <c r="D648" s="4"/>
    </row>
    <row r="649" spans="4:4" x14ac:dyDescent="0.25">
      <c r="D649" s="4"/>
    </row>
    <row r="650" spans="4:4" x14ac:dyDescent="0.25">
      <c r="D650" s="4"/>
    </row>
    <row r="651" spans="4:4" x14ac:dyDescent="0.25">
      <c r="D651" s="4"/>
    </row>
    <row r="652" spans="4:4" x14ac:dyDescent="0.25">
      <c r="D652" s="4"/>
    </row>
    <row r="653" spans="4:4" x14ac:dyDescent="0.25">
      <c r="D653" s="4"/>
    </row>
    <row r="654" spans="4:4" x14ac:dyDescent="0.25">
      <c r="D654" s="4"/>
    </row>
    <row r="655" spans="4:4" x14ac:dyDescent="0.25">
      <c r="D655" s="4"/>
    </row>
    <row r="656" spans="4:4" x14ac:dyDescent="0.25">
      <c r="D656" s="4"/>
    </row>
    <row r="657" spans="4:4" x14ac:dyDescent="0.25">
      <c r="D657" s="4"/>
    </row>
    <row r="658" spans="4:4" x14ac:dyDescent="0.25">
      <c r="D658" s="4"/>
    </row>
    <row r="659" spans="4:4" x14ac:dyDescent="0.25">
      <c r="D659" s="4"/>
    </row>
    <row r="660" spans="4:4" x14ac:dyDescent="0.25">
      <c r="D660" s="4"/>
    </row>
    <row r="661" spans="4:4" x14ac:dyDescent="0.25">
      <c r="D661" s="4"/>
    </row>
    <row r="662" spans="4:4" x14ac:dyDescent="0.25">
      <c r="D662" s="4"/>
    </row>
    <row r="663" spans="4:4" x14ac:dyDescent="0.25">
      <c r="D663" s="4"/>
    </row>
    <row r="664" spans="4:4" x14ac:dyDescent="0.25">
      <c r="D664" s="4"/>
    </row>
    <row r="665" spans="4:4" x14ac:dyDescent="0.25">
      <c r="D665" s="4"/>
    </row>
    <row r="666" spans="4:4" x14ac:dyDescent="0.25">
      <c r="D666" s="4"/>
    </row>
    <row r="667" spans="4:4" x14ac:dyDescent="0.25">
      <c r="D667" s="4"/>
    </row>
    <row r="668" spans="4:4" x14ac:dyDescent="0.25">
      <c r="D668" s="4"/>
    </row>
    <row r="669" spans="4:4" x14ac:dyDescent="0.25">
      <c r="D669" s="4"/>
    </row>
    <row r="670" spans="4:4" x14ac:dyDescent="0.25">
      <c r="D670" s="4"/>
    </row>
    <row r="671" spans="4:4" x14ac:dyDescent="0.25">
      <c r="D671" s="4"/>
    </row>
    <row r="672" spans="4:4" x14ac:dyDescent="0.25">
      <c r="D672" s="4"/>
    </row>
    <row r="673" spans="4:4" x14ac:dyDescent="0.25">
      <c r="D673" s="4"/>
    </row>
    <row r="674" spans="4:4" x14ac:dyDescent="0.25">
      <c r="D674" s="4"/>
    </row>
    <row r="675" spans="4:4" x14ac:dyDescent="0.25">
      <c r="D675" s="4"/>
    </row>
    <row r="676" spans="4:4" x14ac:dyDescent="0.25">
      <c r="D676" s="4"/>
    </row>
    <row r="677" spans="4:4" x14ac:dyDescent="0.25">
      <c r="D677" s="4"/>
    </row>
    <row r="678" spans="4:4" x14ac:dyDescent="0.25">
      <c r="D678" s="4"/>
    </row>
    <row r="679" spans="4:4" x14ac:dyDescent="0.25">
      <c r="D679" s="4"/>
    </row>
    <row r="680" spans="4:4" x14ac:dyDescent="0.25">
      <c r="D680" s="4"/>
    </row>
    <row r="681" spans="4:4" x14ac:dyDescent="0.25">
      <c r="D681" s="4"/>
    </row>
    <row r="682" spans="4:4" x14ac:dyDescent="0.25">
      <c r="D682" s="4"/>
    </row>
    <row r="683" spans="4:4" x14ac:dyDescent="0.25">
      <c r="D683" s="4"/>
    </row>
    <row r="684" spans="4:4" x14ac:dyDescent="0.25">
      <c r="D684" s="4"/>
    </row>
    <row r="685" spans="4:4" x14ac:dyDescent="0.25">
      <c r="D685" s="4"/>
    </row>
    <row r="686" spans="4:4" x14ac:dyDescent="0.25">
      <c r="D686" s="4"/>
    </row>
    <row r="687" spans="4:4" x14ac:dyDescent="0.25">
      <c r="D687" s="4"/>
    </row>
    <row r="688" spans="4:4" x14ac:dyDescent="0.25">
      <c r="D688" s="4"/>
    </row>
    <row r="689" spans="4:4" x14ac:dyDescent="0.25">
      <c r="D689" s="4"/>
    </row>
    <row r="690" spans="4:4" x14ac:dyDescent="0.25">
      <c r="D690" s="4"/>
    </row>
    <row r="691" spans="4:4" x14ac:dyDescent="0.25">
      <c r="D691" s="4"/>
    </row>
    <row r="692" spans="4:4" x14ac:dyDescent="0.25">
      <c r="D692" s="4"/>
    </row>
    <row r="693" spans="4:4" x14ac:dyDescent="0.25">
      <c r="D693" s="4"/>
    </row>
    <row r="694" spans="4:4" x14ac:dyDescent="0.25">
      <c r="D694" s="4"/>
    </row>
    <row r="695" spans="4:4" x14ac:dyDescent="0.25">
      <c r="D695" s="4"/>
    </row>
    <row r="696" spans="4:4" x14ac:dyDescent="0.25">
      <c r="D696" s="4"/>
    </row>
    <row r="697" spans="4:4" x14ac:dyDescent="0.25">
      <c r="D697" s="4"/>
    </row>
    <row r="698" spans="4:4" x14ac:dyDescent="0.25">
      <c r="D698" s="4"/>
    </row>
    <row r="699" spans="4:4" x14ac:dyDescent="0.25">
      <c r="D699" s="4"/>
    </row>
    <row r="700" spans="4:4" x14ac:dyDescent="0.25">
      <c r="D700" s="4"/>
    </row>
    <row r="701" spans="4:4" x14ac:dyDescent="0.25">
      <c r="D701" s="4"/>
    </row>
    <row r="702" spans="4:4" x14ac:dyDescent="0.25">
      <c r="D702" s="4"/>
    </row>
    <row r="703" spans="4:4" x14ac:dyDescent="0.25">
      <c r="D703" s="4"/>
    </row>
    <row r="704" spans="4:4" x14ac:dyDescent="0.25">
      <c r="D704" s="4"/>
    </row>
    <row r="705" spans="4:4" x14ac:dyDescent="0.25">
      <c r="D705" s="4"/>
    </row>
    <row r="706" spans="4:4" x14ac:dyDescent="0.25">
      <c r="D706" s="4"/>
    </row>
    <row r="707" spans="4:4" x14ac:dyDescent="0.25">
      <c r="D707" s="4"/>
    </row>
    <row r="708" spans="4:4" x14ac:dyDescent="0.25">
      <c r="D708" s="4"/>
    </row>
    <row r="709" spans="4:4" x14ac:dyDescent="0.25">
      <c r="D709" s="4"/>
    </row>
    <row r="710" spans="4:4" x14ac:dyDescent="0.25">
      <c r="D710" s="4"/>
    </row>
    <row r="711" spans="4:4" x14ac:dyDescent="0.25">
      <c r="D711" s="4"/>
    </row>
    <row r="712" spans="4:4" x14ac:dyDescent="0.25">
      <c r="D712" s="4"/>
    </row>
    <row r="713" spans="4:4" x14ac:dyDescent="0.25">
      <c r="D713" s="4"/>
    </row>
    <row r="714" spans="4:4" x14ac:dyDescent="0.25">
      <c r="D714" s="4"/>
    </row>
    <row r="715" spans="4:4" x14ac:dyDescent="0.25">
      <c r="D715" s="4"/>
    </row>
    <row r="716" spans="4:4" x14ac:dyDescent="0.25">
      <c r="D716" s="4"/>
    </row>
    <row r="717" spans="4:4" x14ac:dyDescent="0.25">
      <c r="D717" s="4"/>
    </row>
    <row r="718" spans="4:4" x14ac:dyDescent="0.25">
      <c r="D718" s="4"/>
    </row>
    <row r="719" spans="4:4" x14ac:dyDescent="0.25">
      <c r="D719" s="4"/>
    </row>
    <row r="720" spans="4:4" x14ac:dyDescent="0.25">
      <c r="D720" s="4"/>
    </row>
    <row r="721" spans="4:4" x14ac:dyDescent="0.25">
      <c r="D721" s="4"/>
    </row>
    <row r="722" spans="4:4" x14ac:dyDescent="0.25">
      <c r="D722" s="4"/>
    </row>
    <row r="723" spans="4:4" x14ac:dyDescent="0.25">
      <c r="D723" s="4"/>
    </row>
    <row r="724" spans="4:4" x14ac:dyDescent="0.25">
      <c r="D724" s="4"/>
    </row>
    <row r="725" spans="4:4" x14ac:dyDescent="0.25">
      <c r="D725" s="4"/>
    </row>
    <row r="726" spans="4:4" x14ac:dyDescent="0.25">
      <c r="D726" s="4"/>
    </row>
    <row r="727" spans="4:4" x14ac:dyDescent="0.25">
      <c r="D727" s="4"/>
    </row>
    <row r="728" spans="4:4" x14ac:dyDescent="0.25">
      <c r="D728" s="4"/>
    </row>
    <row r="729" spans="4:4" x14ac:dyDescent="0.25">
      <c r="D729" s="4"/>
    </row>
    <row r="730" spans="4:4" x14ac:dyDescent="0.25">
      <c r="D730" s="4"/>
    </row>
    <row r="731" spans="4:4" x14ac:dyDescent="0.25">
      <c r="D731" s="4"/>
    </row>
    <row r="732" spans="4:4" x14ac:dyDescent="0.25">
      <c r="D732" s="4"/>
    </row>
    <row r="733" spans="4:4" x14ac:dyDescent="0.25">
      <c r="D733" s="4"/>
    </row>
    <row r="734" spans="4:4" x14ac:dyDescent="0.25">
      <c r="D734" s="4"/>
    </row>
    <row r="735" spans="4:4" x14ac:dyDescent="0.25">
      <c r="D735" s="4"/>
    </row>
    <row r="736" spans="4:4" x14ac:dyDescent="0.25">
      <c r="D736" s="4"/>
    </row>
    <row r="737" spans="4:4" x14ac:dyDescent="0.25">
      <c r="D737" s="4"/>
    </row>
    <row r="738" spans="4:4" x14ac:dyDescent="0.25">
      <c r="D738" s="4"/>
    </row>
    <row r="739" spans="4:4" x14ac:dyDescent="0.25">
      <c r="D739" s="4"/>
    </row>
    <row r="740" spans="4:4" x14ac:dyDescent="0.25">
      <c r="D740" s="4"/>
    </row>
    <row r="741" spans="4:4" x14ac:dyDescent="0.25">
      <c r="D741" s="4"/>
    </row>
    <row r="742" spans="4:4" x14ac:dyDescent="0.25">
      <c r="D742" s="4"/>
    </row>
    <row r="743" spans="4:4" x14ac:dyDescent="0.25">
      <c r="D743" s="4"/>
    </row>
    <row r="744" spans="4:4" x14ac:dyDescent="0.25">
      <c r="D744" s="4"/>
    </row>
    <row r="745" spans="4:4" x14ac:dyDescent="0.25">
      <c r="D745" s="4"/>
    </row>
    <row r="746" spans="4:4" x14ac:dyDescent="0.25">
      <c r="D746" s="4"/>
    </row>
    <row r="747" spans="4:4" x14ac:dyDescent="0.25">
      <c r="D747" s="4"/>
    </row>
    <row r="748" spans="4:4" x14ac:dyDescent="0.25">
      <c r="D748" s="4"/>
    </row>
    <row r="749" spans="4:4" x14ac:dyDescent="0.25">
      <c r="D749" s="4"/>
    </row>
    <row r="750" spans="4:4" x14ac:dyDescent="0.25">
      <c r="D750" s="4"/>
    </row>
    <row r="751" spans="4:4" x14ac:dyDescent="0.25">
      <c r="D751" s="4"/>
    </row>
    <row r="752" spans="4:4" x14ac:dyDescent="0.25">
      <c r="D752" s="4"/>
    </row>
    <row r="753" spans="4:4" x14ac:dyDescent="0.25">
      <c r="D753" s="4"/>
    </row>
    <row r="754" spans="4:4" x14ac:dyDescent="0.25">
      <c r="D754" s="4"/>
    </row>
    <row r="755" spans="4:4" x14ac:dyDescent="0.25">
      <c r="D755" s="4"/>
    </row>
    <row r="756" spans="4:4" x14ac:dyDescent="0.25">
      <c r="D756" s="4"/>
    </row>
    <row r="757" spans="4:4" x14ac:dyDescent="0.25">
      <c r="D757" s="4"/>
    </row>
    <row r="758" spans="4:4" x14ac:dyDescent="0.25">
      <c r="D758" s="4"/>
    </row>
    <row r="759" spans="4:4" x14ac:dyDescent="0.25">
      <c r="D759" s="4"/>
    </row>
    <row r="760" spans="4:4" x14ac:dyDescent="0.25">
      <c r="D760" s="4"/>
    </row>
    <row r="761" spans="4:4" x14ac:dyDescent="0.25">
      <c r="D761" s="4"/>
    </row>
    <row r="762" spans="4:4" x14ac:dyDescent="0.25">
      <c r="D762" s="4"/>
    </row>
    <row r="763" spans="4:4" x14ac:dyDescent="0.25">
      <c r="D763" s="4"/>
    </row>
    <row r="764" spans="4:4" x14ac:dyDescent="0.25">
      <c r="D764" s="4"/>
    </row>
    <row r="765" spans="4:4" x14ac:dyDescent="0.25">
      <c r="D765" s="4"/>
    </row>
    <row r="766" spans="4:4" x14ac:dyDescent="0.25">
      <c r="D766" s="4"/>
    </row>
    <row r="767" spans="4:4" x14ac:dyDescent="0.25">
      <c r="D767" s="4"/>
    </row>
    <row r="768" spans="4:4" x14ac:dyDescent="0.25">
      <c r="D768" s="4"/>
    </row>
    <row r="769" spans="4:4" x14ac:dyDescent="0.25">
      <c r="D769" s="4"/>
    </row>
    <row r="770" spans="4:4" x14ac:dyDescent="0.25">
      <c r="D770" s="4"/>
    </row>
    <row r="771" spans="4:4" x14ac:dyDescent="0.25">
      <c r="D771" s="4"/>
    </row>
    <row r="772" spans="4:4" x14ac:dyDescent="0.25">
      <c r="D772" s="4"/>
    </row>
    <row r="773" spans="4:4" x14ac:dyDescent="0.25">
      <c r="D773" s="4"/>
    </row>
    <row r="774" spans="4:4" x14ac:dyDescent="0.25">
      <c r="D774" s="4"/>
    </row>
    <row r="775" spans="4:4" x14ac:dyDescent="0.25">
      <c r="D775" s="4"/>
    </row>
    <row r="776" spans="4:4" x14ac:dyDescent="0.25">
      <c r="D776" s="4"/>
    </row>
    <row r="777" spans="4:4" x14ac:dyDescent="0.25">
      <c r="D777" s="4"/>
    </row>
    <row r="778" spans="4:4" x14ac:dyDescent="0.25">
      <c r="D778" s="4"/>
    </row>
    <row r="779" spans="4:4" x14ac:dyDescent="0.25">
      <c r="D779" s="4"/>
    </row>
    <row r="780" spans="4:4" x14ac:dyDescent="0.25">
      <c r="D780" s="4"/>
    </row>
    <row r="781" spans="4:4" x14ac:dyDescent="0.25">
      <c r="D781" s="4"/>
    </row>
  </sheetData>
  <mergeCells count="1">
    <mergeCell ref="B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rArchivoDetalle3Txt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3"/>
  </sheetPr>
  <dimension ref="B1:E519"/>
  <sheetViews>
    <sheetView topLeftCell="A301" workbookViewId="0">
      <selection activeCell="E39" sqref="E39"/>
    </sheetView>
  </sheetViews>
  <sheetFormatPr baseColWidth="10" defaultRowHeight="15" x14ac:dyDescent="0.25"/>
  <cols>
    <col min="4" max="4" width="72.85546875" style="6" customWidth="1"/>
    <col min="5" max="5" width="11.42578125" style="1"/>
  </cols>
  <sheetData>
    <row r="1" spans="2:5" x14ac:dyDescent="0.25">
      <c r="B1" s="25" t="s">
        <v>503</v>
      </c>
      <c r="C1" s="25"/>
      <c r="D1" s="25"/>
      <c r="E1" s="25"/>
    </row>
    <row r="2" spans="2:5" x14ac:dyDescent="0.25">
      <c r="B2" s="2" t="s">
        <v>0</v>
      </c>
      <c r="C2" s="2"/>
      <c r="D2" s="2" t="s">
        <v>1</v>
      </c>
      <c r="E2" s="2" t="s">
        <v>504</v>
      </c>
    </row>
    <row r="3" spans="2:5" x14ac:dyDescent="0.25">
      <c r="B3" s="5">
        <v>99</v>
      </c>
      <c r="C3" s="5">
        <v>301</v>
      </c>
      <c r="D3" s="18" t="s">
        <v>506</v>
      </c>
      <c r="E3" s="14"/>
    </row>
    <row r="4" spans="2:5" x14ac:dyDescent="0.25">
      <c r="B4" s="5">
        <v>99</v>
      </c>
      <c r="C4" s="5">
        <v>302</v>
      </c>
      <c r="D4" s="18" t="s">
        <v>507</v>
      </c>
      <c r="E4" s="14"/>
    </row>
    <row r="5" spans="2:5" x14ac:dyDescent="0.25">
      <c r="B5" s="5">
        <v>99</v>
      </c>
      <c r="C5" s="5">
        <v>303</v>
      </c>
      <c r="D5" s="18" t="s">
        <v>508</v>
      </c>
      <c r="E5" s="14"/>
    </row>
    <row r="6" spans="2:5" x14ac:dyDescent="0.25">
      <c r="B6" s="5">
        <v>99</v>
      </c>
      <c r="C6" s="5">
        <v>30401</v>
      </c>
      <c r="D6" s="18" t="s">
        <v>509</v>
      </c>
      <c r="E6" s="14"/>
    </row>
    <row r="7" spans="2:5" x14ac:dyDescent="0.25">
      <c r="B7" s="5">
        <v>99</v>
      </c>
      <c r="C7" s="5">
        <v>30402</v>
      </c>
      <c r="D7" s="18" t="s">
        <v>510</v>
      </c>
      <c r="E7" s="14"/>
    </row>
    <row r="8" spans="2:5" x14ac:dyDescent="0.25">
      <c r="B8" s="5">
        <v>99</v>
      </c>
      <c r="C8" s="5">
        <v>30501</v>
      </c>
      <c r="D8" s="18" t="s">
        <v>511</v>
      </c>
      <c r="E8" s="14"/>
    </row>
    <row r="9" spans="2:5" x14ac:dyDescent="0.25">
      <c r="B9" s="5">
        <v>99</v>
      </c>
      <c r="C9" s="5">
        <v>30502</v>
      </c>
      <c r="D9" s="18" t="s">
        <v>512</v>
      </c>
      <c r="E9" s="14"/>
    </row>
    <row r="10" spans="2:5" x14ac:dyDescent="0.25">
      <c r="B10" s="5">
        <v>99</v>
      </c>
      <c r="C10" s="5">
        <v>30503</v>
      </c>
      <c r="D10" s="18" t="s">
        <v>513</v>
      </c>
      <c r="E10" s="14"/>
    </row>
    <row r="11" spans="2:5" x14ac:dyDescent="0.25">
      <c r="B11" s="5">
        <v>99</v>
      </c>
      <c r="C11" s="5">
        <v>30504</v>
      </c>
      <c r="D11" s="18" t="s">
        <v>514</v>
      </c>
      <c r="E11" s="14"/>
    </row>
    <row r="12" spans="2:5" x14ac:dyDescent="0.25">
      <c r="B12" s="5">
        <v>99</v>
      </c>
      <c r="C12" s="5">
        <v>30601</v>
      </c>
      <c r="D12" s="18" t="s">
        <v>515</v>
      </c>
      <c r="E12" s="14">
        <f>+ESF!D368</f>
        <v>0</v>
      </c>
    </row>
    <row r="13" spans="2:5" x14ac:dyDescent="0.25">
      <c r="B13" s="5">
        <v>99</v>
      </c>
      <c r="C13" s="5">
        <v>30602</v>
      </c>
      <c r="D13" s="18" t="s">
        <v>516</v>
      </c>
      <c r="E13" s="14"/>
    </row>
    <row r="14" spans="2:5" x14ac:dyDescent="0.25">
      <c r="B14" s="5">
        <v>99</v>
      </c>
      <c r="C14" s="5">
        <v>30603</v>
      </c>
      <c r="D14" s="18" t="s">
        <v>517</v>
      </c>
      <c r="E14" s="14"/>
    </row>
    <row r="15" spans="2:5" x14ac:dyDescent="0.25">
      <c r="B15" s="5">
        <v>99</v>
      </c>
      <c r="C15" s="5">
        <v>30604</v>
      </c>
      <c r="D15" s="18" t="s">
        <v>518</v>
      </c>
      <c r="E15" s="14"/>
    </row>
    <row r="16" spans="2:5" x14ac:dyDescent="0.25">
      <c r="B16" s="5">
        <v>99</v>
      </c>
      <c r="C16" s="5">
        <v>30605</v>
      </c>
      <c r="D16" s="18" t="s">
        <v>519</v>
      </c>
      <c r="E16" s="14"/>
    </row>
    <row r="17" spans="2:5" x14ac:dyDescent="0.25">
      <c r="B17" s="5">
        <v>99</v>
      </c>
      <c r="C17" s="5">
        <v>30606</v>
      </c>
      <c r="D17" s="18" t="s">
        <v>520</v>
      </c>
      <c r="E17" s="14"/>
    </row>
    <row r="18" spans="2:5" x14ac:dyDescent="0.25">
      <c r="B18" s="5">
        <v>99</v>
      </c>
      <c r="C18" s="5">
        <v>30607</v>
      </c>
      <c r="D18" s="18" t="s">
        <v>521</v>
      </c>
      <c r="E18" s="14"/>
    </row>
    <row r="19" spans="2:5" x14ac:dyDescent="0.25">
      <c r="B19" s="5">
        <v>99</v>
      </c>
      <c r="C19" s="5">
        <v>30701</v>
      </c>
      <c r="D19" s="18" t="s">
        <v>522</v>
      </c>
      <c r="E19" s="15">
        <f>+ESF!D376</f>
        <v>0</v>
      </c>
    </row>
    <row r="20" spans="2:5" x14ac:dyDescent="0.25">
      <c r="B20" s="5">
        <v>99</v>
      </c>
      <c r="C20" s="5">
        <v>30702</v>
      </c>
      <c r="D20" s="18" t="s">
        <v>523</v>
      </c>
      <c r="E20" s="15"/>
    </row>
    <row r="21" spans="2:5" x14ac:dyDescent="0.25">
      <c r="B21" s="5">
        <v>9901</v>
      </c>
      <c r="C21" s="5">
        <v>301</v>
      </c>
      <c r="D21" s="19" t="s">
        <v>524</v>
      </c>
      <c r="E21" s="15"/>
    </row>
    <row r="22" spans="2:5" x14ac:dyDescent="0.25">
      <c r="B22" s="5">
        <v>9901</v>
      </c>
      <c r="C22" s="5">
        <v>302</v>
      </c>
      <c r="D22" s="19" t="s">
        <v>525</v>
      </c>
      <c r="E22" s="15"/>
    </row>
    <row r="23" spans="2:5" x14ac:dyDescent="0.25">
      <c r="B23" s="5">
        <v>9901</v>
      </c>
      <c r="C23" s="5">
        <v>303</v>
      </c>
      <c r="D23" s="19" t="s">
        <v>526</v>
      </c>
      <c r="E23" s="15"/>
    </row>
    <row r="24" spans="2:5" x14ac:dyDescent="0.25">
      <c r="B24" s="5">
        <v>9901</v>
      </c>
      <c r="C24" s="5">
        <v>30401</v>
      </c>
      <c r="D24" s="19" t="s">
        <v>527</v>
      </c>
      <c r="E24" s="15"/>
    </row>
    <row r="25" spans="2:5" x14ac:dyDescent="0.25">
      <c r="B25" s="5">
        <v>9901</v>
      </c>
      <c r="C25" s="5">
        <v>30402</v>
      </c>
      <c r="D25" s="19" t="s">
        <v>528</v>
      </c>
      <c r="E25" s="15"/>
    </row>
    <row r="26" spans="2:5" x14ac:dyDescent="0.25">
      <c r="B26" s="5">
        <v>9901</v>
      </c>
      <c r="C26" s="5">
        <v>30501</v>
      </c>
      <c r="D26" s="19" t="s">
        <v>529</v>
      </c>
      <c r="E26" s="15"/>
    </row>
    <row r="27" spans="2:5" x14ac:dyDescent="0.25">
      <c r="B27" s="5">
        <v>9901</v>
      </c>
      <c r="C27" s="5">
        <v>30502</v>
      </c>
      <c r="D27" s="19" t="s">
        <v>530</v>
      </c>
      <c r="E27" s="15"/>
    </row>
    <row r="28" spans="2:5" x14ac:dyDescent="0.25">
      <c r="B28" s="5">
        <v>9901</v>
      </c>
      <c r="C28" s="5">
        <v>30503</v>
      </c>
      <c r="D28" s="19" t="s">
        <v>531</v>
      </c>
      <c r="E28" s="15"/>
    </row>
    <row r="29" spans="2:5" x14ac:dyDescent="0.25">
      <c r="B29" s="5">
        <v>9901</v>
      </c>
      <c r="C29" s="5">
        <v>30504</v>
      </c>
      <c r="D29" s="19" t="s">
        <v>532</v>
      </c>
      <c r="E29" s="15"/>
    </row>
    <row r="30" spans="2:5" x14ac:dyDescent="0.25">
      <c r="B30" s="5">
        <v>9901</v>
      </c>
      <c r="C30" s="5">
        <v>30601</v>
      </c>
      <c r="D30" s="19" t="s">
        <v>533</v>
      </c>
      <c r="E30" s="15"/>
    </row>
    <row r="31" spans="2:5" x14ac:dyDescent="0.25">
      <c r="B31" s="5">
        <v>9901</v>
      </c>
      <c r="C31" s="5">
        <v>30602</v>
      </c>
      <c r="D31" s="19" t="s">
        <v>534</v>
      </c>
      <c r="E31" s="15"/>
    </row>
    <row r="32" spans="2:5" x14ac:dyDescent="0.25">
      <c r="B32" s="5">
        <v>9901</v>
      </c>
      <c r="C32" s="5">
        <v>30603</v>
      </c>
      <c r="D32" s="19" t="s">
        <v>535</v>
      </c>
      <c r="E32" s="15"/>
    </row>
    <row r="33" spans="2:5" x14ac:dyDescent="0.25">
      <c r="B33" s="5">
        <v>9901</v>
      </c>
      <c r="C33" s="5">
        <v>30604</v>
      </c>
      <c r="D33" s="19" t="s">
        <v>536</v>
      </c>
      <c r="E33" s="15"/>
    </row>
    <row r="34" spans="2:5" x14ac:dyDescent="0.25">
      <c r="B34" s="5">
        <v>9901</v>
      </c>
      <c r="C34" s="5">
        <v>30605</v>
      </c>
      <c r="D34" s="19" t="s">
        <v>537</v>
      </c>
      <c r="E34" s="15"/>
    </row>
    <row r="35" spans="2:5" x14ac:dyDescent="0.25">
      <c r="B35" s="5">
        <v>9901</v>
      </c>
      <c r="C35" s="5">
        <v>30606</v>
      </c>
      <c r="D35" s="19" t="s">
        <v>538</v>
      </c>
      <c r="E35" s="15"/>
    </row>
    <row r="36" spans="2:5" x14ac:dyDescent="0.25">
      <c r="B36" s="5">
        <v>9901</v>
      </c>
      <c r="C36" s="5">
        <v>30607</v>
      </c>
      <c r="D36" s="19" t="s">
        <v>539</v>
      </c>
      <c r="E36" s="15"/>
    </row>
    <row r="37" spans="2:5" x14ac:dyDescent="0.25">
      <c r="B37" s="5">
        <v>9901</v>
      </c>
      <c r="C37" s="5">
        <v>30701</v>
      </c>
      <c r="D37" s="19" t="s">
        <v>540</v>
      </c>
      <c r="E37" s="15"/>
    </row>
    <row r="38" spans="2:5" x14ac:dyDescent="0.25">
      <c r="B38" s="5">
        <v>9901</v>
      </c>
      <c r="C38" s="5">
        <v>30702</v>
      </c>
      <c r="D38" s="19" t="s">
        <v>541</v>
      </c>
      <c r="E38" s="15"/>
    </row>
    <row r="39" spans="2:5" x14ac:dyDescent="0.25">
      <c r="B39" s="5">
        <v>990101</v>
      </c>
      <c r="C39" s="5">
        <v>301</v>
      </c>
      <c r="D39" s="19" t="s">
        <v>542</v>
      </c>
      <c r="E39" s="15"/>
    </row>
    <row r="40" spans="2:5" x14ac:dyDescent="0.25">
      <c r="B40" s="5">
        <v>990101</v>
      </c>
      <c r="C40" s="5">
        <v>302</v>
      </c>
      <c r="D40" s="19" t="s">
        <v>543</v>
      </c>
      <c r="E40" s="15"/>
    </row>
    <row r="41" spans="2:5" x14ac:dyDescent="0.25">
      <c r="B41" s="5">
        <v>990101</v>
      </c>
      <c r="C41" s="5">
        <v>303</v>
      </c>
      <c r="D41" s="19" t="s">
        <v>544</v>
      </c>
      <c r="E41" s="15"/>
    </row>
    <row r="42" spans="2:5" x14ac:dyDescent="0.25">
      <c r="B42" s="5">
        <v>990101</v>
      </c>
      <c r="C42" s="5">
        <v>30401</v>
      </c>
      <c r="D42" s="19" t="s">
        <v>545</v>
      </c>
      <c r="E42" s="15"/>
    </row>
    <row r="43" spans="2:5" x14ac:dyDescent="0.25">
      <c r="B43" s="5">
        <v>990101</v>
      </c>
      <c r="C43" s="5">
        <v>30402</v>
      </c>
      <c r="D43" s="19" t="s">
        <v>546</v>
      </c>
      <c r="E43" s="15"/>
    </row>
    <row r="44" spans="2:5" x14ac:dyDescent="0.25">
      <c r="B44" s="5">
        <v>990101</v>
      </c>
      <c r="C44" s="5">
        <v>30501</v>
      </c>
      <c r="D44" s="19" t="s">
        <v>547</v>
      </c>
      <c r="E44" s="15"/>
    </row>
    <row r="45" spans="2:5" x14ac:dyDescent="0.25">
      <c r="B45" s="5">
        <v>990101</v>
      </c>
      <c r="C45" s="5">
        <v>30502</v>
      </c>
      <c r="D45" s="19" t="s">
        <v>548</v>
      </c>
      <c r="E45" s="15"/>
    </row>
    <row r="46" spans="2:5" x14ac:dyDescent="0.25">
      <c r="B46" s="5">
        <v>990101</v>
      </c>
      <c r="C46" s="5">
        <v>30503</v>
      </c>
      <c r="D46" s="19" t="s">
        <v>549</v>
      </c>
      <c r="E46" s="15"/>
    </row>
    <row r="47" spans="2:5" x14ac:dyDescent="0.25">
      <c r="B47" s="5">
        <v>990101</v>
      </c>
      <c r="C47" s="5">
        <v>30504</v>
      </c>
      <c r="D47" s="19" t="s">
        <v>550</v>
      </c>
      <c r="E47" s="15"/>
    </row>
    <row r="48" spans="2:5" x14ac:dyDescent="0.25">
      <c r="B48" s="5">
        <v>990101</v>
      </c>
      <c r="C48" s="5">
        <v>30601</v>
      </c>
      <c r="D48" s="19" t="s">
        <v>551</v>
      </c>
      <c r="E48" s="15"/>
    </row>
    <row r="49" spans="2:5" x14ac:dyDescent="0.25">
      <c r="B49" s="5">
        <v>990101</v>
      </c>
      <c r="C49" s="5">
        <v>30602</v>
      </c>
      <c r="D49" s="19" t="s">
        <v>552</v>
      </c>
      <c r="E49" s="15"/>
    </row>
    <row r="50" spans="2:5" x14ac:dyDescent="0.25">
      <c r="B50" s="5">
        <v>990101</v>
      </c>
      <c r="C50" s="5">
        <v>30603</v>
      </c>
      <c r="D50" s="19" t="s">
        <v>553</v>
      </c>
      <c r="E50" s="15"/>
    </row>
    <row r="51" spans="2:5" x14ac:dyDescent="0.25">
      <c r="B51" s="5">
        <v>990101</v>
      </c>
      <c r="C51" s="5">
        <v>30604</v>
      </c>
      <c r="D51" s="19" t="s">
        <v>554</v>
      </c>
      <c r="E51" s="15"/>
    </row>
    <row r="52" spans="2:5" x14ac:dyDescent="0.25">
      <c r="B52" s="5">
        <v>990101</v>
      </c>
      <c r="C52" s="5">
        <v>30605</v>
      </c>
      <c r="D52" s="19" t="s">
        <v>555</v>
      </c>
      <c r="E52" s="16"/>
    </row>
    <row r="53" spans="2:5" x14ac:dyDescent="0.25">
      <c r="B53" s="5">
        <v>990101</v>
      </c>
      <c r="C53" s="5">
        <v>30606</v>
      </c>
      <c r="D53" s="19" t="s">
        <v>556</v>
      </c>
      <c r="E53" s="16"/>
    </row>
    <row r="54" spans="2:5" x14ac:dyDescent="0.25">
      <c r="B54" s="5">
        <v>990101</v>
      </c>
      <c r="C54" s="5">
        <v>30607</v>
      </c>
      <c r="D54" s="19" t="s">
        <v>557</v>
      </c>
      <c r="E54" s="16"/>
    </row>
    <row r="55" spans="2:5" x14ac:dyDescent="0.25">
      <c r="B55" s="5">
        <v>990101</v>
      </c>
      <c r="C55" s="5">
        <v>30701</v>
      </c>
      <c r="D55" s="19" t="s">
        <v>558</v>
      </c>
      <c r="E55" s="16"/>
    </row>
    <row r="56" spans="2:5" x14ac:dyDescent="0.25">
      <c r="B56" s="5">
        <v>990101</v>
      </c>
      <c r="C56" s="5">
        <v>30702</v>
      </c>
      <c r="D56" s="19" t="s">
        <v>559</v>
      </c>
      <c r="E56" s="16"/>
    </row>
    <row r="57" spans="2:5" x14ac:dyDescent="0.25">
      <c r="B57" s="5">
        <v>990102</v>
      </c>
      <c r="C57" s="5">
        <v>301</v>
      </c>
      <c r="D57" s="19" t="s">
        <v>560</v>
      </c>
      <c r="E57" s="16"/>
    </row>
    <row r="58" spans="2:5" x14ac:dyDescent="0.25">
      <c r="B58" s="5">
        <v>990102</v>
      </c>
      <c r="C58" s="5">
        <v>302</v>
      </c>
      <c r="D58" s="19" t="s">
        <v>561</v>
      </c>
      <c r="E58" s="16"/>
    </row>
    <row r="59" spans="2:5" x14ac:dyDescent="0.25">
      <c r="B59" s="5">
        <v>990102</v>
      </c>
      <c r="C59" s="5">
        <v>303</v>
      </c>
      <c r="D59" s="19" t="s">
        <v>562</v>
      </c>
      <c r="E59" s="16"/>
    </row>
    <row r="60" spans="2:5" x14ac:dyDescent="0.25">
      <c r="B60" s="5">
        <v>990102</v>
      </c>
      <c r="C60" s="5">
        <v>30401</v>
      </c>
      <c r="D60" s="19" t="s">
        <v>563</v>
      </c>
      <c r="E60" s="16"/>
    </row>
    <row r="61" spans="2:5" x14ac:dyDescent="0.25">
      <c r="B61" s="5">
        <v>990102</v>
      </c>
      <c r="C61" s="5">
        <v>30402</v>
      </c>
      <c r="D61" s="19" t="s">
        <v>564</v>
      </c>
      <c r="E61" s="16"/>
    </row>
    <row r="62" spans="2:5" x14ac:dyDescent="0.25">
      <c r="B62" s="5">
        <v>990102</v>
      </c>
      <c r="C62" s="5">
        <v>30501</v>
      </c>
      <c r="D62" s="19" t="s">
        <v>565</v>
      </c>
      <c r="E62" s="16"/>
    </row>
    <row r="63" spans="2:5" x14ac:dyDescent="0.25">
      <c r="B63" s="5">
        <v>990102</v>
      </c>
      <c r="C63" s="5">
        <v>30502</v>
      </c>
      <c r="D63" s="19" t="s">
        <v>566</v>
      </c>
      <c r="E63" s="16"/>
    </row>
    <row r="64" spans="2:5" x14ac:dyDescent="0.25">
      <c r="B64" s="5">
        <v>990102</v>
      </c>
      <c r="C64" s="5">
        <v>30503</v>
      </c>
      <c r="D64" s="19" t="s">
        <v>567</v>
      </c>
      <c r="E64" s="16"/>
    </row>
    <row r="65" spans="2:5" x14ac:dyDescent="0.25">
      <c r="B65" s="5">
        <v>990102</v>
      </c>
      <c r="C65" s="5">
        <v>30504</v>
      </c>
      <c r="D65" s="19" t="s">
        <v>568</v>
      </c>
      <c r="E65" s="16"/>
    </row>
    <row r="66" spans="2:5" x14ac:dyDescent="0.25">
      <c r="B66" s="5">
        <v>990102</v>
      </c>
      <c r="C66" s="5">
        <v>30601</v>
      </c>
      <c r="D66" s="19" t="s">
        <v>569</v>
      </c>
      <c r="E66" s="16"/>
    </row>
    <row r="67" spans="2:5" x14ac:dyDescent="0.25">
      <c r="B67" s="5">
        <v>990102</v>
      </c>
      <c r="C67" s="5">
        <v>30602</v>
      </c>
      <c r="D67" s="19" t="s">
        <v>570</v>
      </c>
      <c r="E67" s="16"/>
    </row>
    <row r="68" spans="2:5" x14ac:dyDescent="0.25">
      <c r="B68" s="5">
        <v>990102</v>
      </c>
      <c r="C68" s="5">
        <v>30603</v>
      </c>
      <c r="D68" s="19" t="s">
        <v>571</v>
      </c>
      <c r="E68" s="16"/>
    </row>
    <row r="69" spans="2:5" x14ac:dyDescent="0.25">
      <c r="B69" s="5">
        <v>990102</v>
      </c>
      <c r="C69" s="5">
        <v>30604</v>
      </c>
      <c r="D69" s="19" t="s">
        <v>572</v>
      </c>
      <c r="E69" s="16"/>
    </row>
    <row r="70" spans="2:5" x14ac:dyDescent="0.25">
      <c r="B70" s="5">
        <v>990102</v>
      </c>
      <c r="C70" s="5">
        <v>30605</v>
      </c>
      <c r="D70" s="19" t="s">
        <v>573</v>
      </c>
      <c r="E70" s="16"/>
    </row>
    <row r="71" spans="2:5" x14ac:dyDescent="0.25">
      <c r="B71" s="5">
        <v>990102</v>
      </c>
      <c r="C71" s="5">
        <v>30606</v>
      </c>
      <c r="D71" s="19" t="s">
        <v>574</v>
      </c>
      <c r="E71" s="16"/>
    </row>
    <row r="72" spans="2:5" x14ac:dyDescent="0.25">
      <c r="B72" s="5">
        <v>990102</v>
      </c>
      <c r="C72" s="5">
        <v>30607</v>
      </c>
      <c r="D72" s="19" t="s">
        <v>575</v>
      </c>
      <c r="E72" s="16"/>
    </row>
    <row r="73" spans="2:5" x14ac:dyDescent="0.25">
      <c r="B73" s="5">
        <v>990102</v>
      </c>
      <c r="C73" s="5">
        <v>30701</v>
      </c>
      <c r="D73" s="19" t="s">
        <v>576</v>
      </c>
      <c r="E73" s="16"/>
    </row>
    <row r="74" spans="2:5" x14ac:dyDescent="0.25">
      <c r="B74" s="5">
        <v>990102</v>
      </c>
      <c r="C74" s="5">
        <v>30702</v>
      </c>
      <c r="D74" s="19" t="s">
        <v>577</v>
      </c>
      <c r="E74" s="16"/>
    </row>
    <row r="75" spans="2:5" x14ac:dyDescent="0.25">
      <c r="B75" s="5">
        <v>990103</v>
      </c>
      <c r="C75" s="5">
        <v>301</v>
      </c>
      <c r="D75" s="19" t="s">
        <v>578</v>
      </c>
      <c r="E75" s="16"/>
    </row>
    <row r="76" spans="2:5" x14ac:dyDescent="0.25">
      <c r="B76" s="5">
        <v>990103</v>
      </c>
      <c r="C76" s="5">
        <v>302</v>
      </c>
      <c r="D76" s="19" t="s">
        <v>579</v>
      </c>
      <c r="E76" s="16"/>
    </row>
    <row r="77" spans="2:5" x14ac:dyDescent="0.25">
      <c r="B77" s="5">
        <v>990103</v>
      </c>
      <c r="C77" s="5">
        <v>303</v>
      </c>
      <c r="D77" s="19" t="s">
        <v>580</v>
      </c>
      <c r="E77" s="16"/>
    </row>
    <row r="78" spans="2:5" x14ac:dyDescent="0.25">
      <c r="B78" s="5">
        <v>990103</v>
      </c>
      <c r="C78" s="5">
        <v>30401</v>
      </c>
      <c r="D78" s="19" t="s">
        <v>581</v>
      </c>
      <c r="E78" s="16"/>
    </row>
    <row r="79" spans="2:5" x14ac:dyDescent="0.25">
      <c r="B79" s="5">
        <v>990103</v>
      </c>
      <c r="C79" s="5">
        <v>30402</v>
      </c>
      <c r="D79" s="19" t="s">
        <v>582</v>
      </c>
      <c r="E79" s="16"/>
    </row>
    <row r="80" spans="2:5" x14ac:dyDescent="0.25">
      <c r="B80" s="5">
        <v>990103</v>
      </c>
      <c r="C80" s="5">
        <v>30501</v>
      </c>
      <c r="D80" s="19" t="s">
        <v>583</v>
      </c>
      <c r="E80" s="16"/>
    </row>
    <row r="81" spans="2:5" x14ac:dyDescent="0.25">
      <c r="B81" s="5">
        <v>990103</v>
      </c>
      <c r="C81" s="5">
        <v>30502</v>
      </c>
      <c r="D81" s="19" t="s">
        <v>584</v>
      </c>
      <c r="E81" s="16"/>
    </row>
    <row r="82" spans="2:5" x14ac:dyDescent="0.25">
      <c r="B82" s="5">
        <v>990103</v>
      </c>
      <c r="C82" s="5">
        <v>30503</v>
      </c>
      <c r="D82" s="19" t="s">
        <v>585</v>
      </c>
      <c r="E82" s="16"/>
    </row>
    <row r="83" spans="2:5" x14ac:dyDescent="0.25">
      <c r="B83" s="5">
        <v>990103</v>
      </c>
      <c r="C83" s="5">
        <v>30504</v>
      </c>
      <c r="D83" s="19" t="s">
        <v>586</v>
      </c>
      <c r="E83" s="16"/>
    </row>
    <row r="84" spans="2:5" x14ac:dyDescent="0.25">
      <c r="B84" s="5">
        <v>990103</v>
      </c>
      <c r="C84" s="5">
        <v>30601</v>
      </c>
      <c r="D84" s="19" t="s">
        <v>587</v>
      </c>
      <c r="E84" s="16"/>
    </row>
    <row r="85" spans="2:5" x14ac:dyDescent="0.25">
      <c r="B85" s="5">
        <v>990103</v>
      </c>
      <c r="C85" s="5">
        <v>30602</v>
      </c>
      <c r="D85" s="19" t="s">
        <v>588</v>
      </c>
      <c r="E85" s="16"/>
    </row>
    <row r="86" spans="2:5" x14ac:dyDescent="0.25">
      <c r="B86" s="5">
        <v>990103</v>
      </c>
      <c r="C86" s="5">
        <v>30603</v>
      </c>
      <c r="D86" s="19" t="s">
        <v>589</v>
      </c>
      <c r="E86" s="16"/>
    </row>
    <row r="87" spans="2:5" x14ac:dyDescent="0.25">
      <c r="B87" s="5">
        <v>990103</v>
      </c>
      <c r="C87" s="5">
        <v>30604</v>
      </c>
      <c r="D87" s="19" t="s">
        <v>590</v>
      </c>
      <c r="E87" s="16"/>
    </row>
    <row r="88" spans="2:5" x14ac:dyDescent="0.25">
      <c r="B88" s="5">
        <v>990103</v>
      </c>
      <c r="C88" s="5">
        <v>30605</v>
      </c>
      <c r="D88" s="19" t="s">
        <v>591</v>
      </c>
      <c r="E88" s="16"/>
    </row>
    <row r="89" spans="2:5" x14ac:dyDescent="0.25">
      <c r="B89" s="5">
        <v>990103</v>
      </c>
      <c r="C89" s="5">
        <v>30606</v>
      </c>
      <c r="D89" s="19" t="s">
        <v>592</v>
      </c>
      <c r="E89" s="16"/>
    </row>
    <row r="90" spans="2:5" x14ac:dyDescent="0.25">
      <c r="B90" s="5">
        <v>990103</v>
      </c>
      <c r="C90" s="5">
        <v>30607</v>
      </c>
      <c r="D90" s="19" t="s">
        <v>593</v>
      </c>
      <c r="E90" s="16"/>
    </row>
    <row r="91" spans="2:5" x14ac:dyDescent="0.25">
      <c r="B91" s="5">
        <v>990103</v>
      </c>
      <c r="C91" s="5">
        <v>30701</v>
      </c>
      <c r="D91" s="19" t="s">
        <v>594</v>
      </c>
      <c r="E91" s="16"/>
    </row>
    <row r="92" spans="2:5" x14ac:dyDescent="0.25">
      <c r="B92" s="5">
        <v>990103</v>
      </c>
      <c r="C92" s="5">
        <v>30702</v>
      </c>
      <c r="D92" s="19" t="s">
        <v>595</v>
      </c>
      <c r="E92" s="16"/>
    </row>
    <row r="93" spans="2:5" x14ac:dyDescent="0.25">
      <c r="B93" s="5">
        <v>9902</v>
      </c>
      <c r="C93" s="5">
        <v>301</v>
      </c>
      <c r="D93" s="19" t="s">
        <v>596</v>
      </c>
      <c r="E93" s="16"/>
    </row>
    <row r="94" spans="2:5" x14ac:dyDescent="0.25">
      <c r="B94" s="5">
        <v>9902</v>
      </c>
      <c r="C94" s="5">
        <v>302</v>
      </c>
      <c r="D94" s="19" t="s">
        <v>597</v>
      </c>
      <c r="E94" s="16"/>
    </row>
    <row r="95" spans="2:5" x14ac:dyDescent="0.25">
      <c r="B95" s="5">
        <v>9902</v>
      </c>
      <c r="C95" s="5">
        <v>303</v>
      </c>
      <c r="D95" s="19" t="s">
        <v>598</v>
      </c>
      <c r="E95" s="16"/>
    </row>
    <row r="96" spans="2:5" x14ac:dyDescent="0.25">
      <c r="B96" s="5">
        <v>9902</v>
      </c>
      <c r="C96" s="5">
        <v>30401</v>
      </c>
      <c r="D96" s="19" t="s">
        <v>599</v>
      </c>
      <c r="E96" s="16"/>
    </row>
    <row r="97" spans="2:5" x14ac:dyDescent="0.25">
      <c r="B97" s="5">
        <v>9902</v>
      </c>
      <c r="C97" s="5">
        <v>30402</v>
      </c>
      <c r="D97" s="19" t="s">
        <v>600</v>
      </c>
      <c r="E97" s="16"/>
    </row>
    <row r="98" spans="2:5" x14ac:dyDescent="0.25">
      <c r="B98" s="5">
        <v>9902</v>
      </c>
      <c r="C98" s="5">
        <v>30501</v>
      </c>
      <c r="D98" s="19" t="s">
        <v>601</v>
      </c>
      <c r="E98" s="16"/>
    </row>
    <row r="99" spans="2:5" x14ac:dyDescent="0.25">
      <c r="B99" s="5">
        <v>9902</v>
      </c>
      <c r="C99" s="5">
        <v>30502</v>
      </c>
      <c r="D99" s="19" t="s">
        <v>602</v>
      </c>
      <c r="E99" s="16"/>
    </row>
    <row r="100" spans="2:5" x14ac:dyDescent="0.25">
      <c r="B100" s="5">
        <v>9902</v>
      </c>
      <c r="C100" s="5">
        <v>30503</v>
      </c>
      <c r="D100" s="19" t="s">
        <v>603</v>
      </c>
      <c r="E100" s="16"/>
    </row>
    <row r="101" spans="2:5" x14ac:dyDescent="0.25">
      <c r="B101" s="5">
        <v>9902</v>
      </c>
      <c r="C101" s="5">
        <v>30504</v>
      </c>
      <c r="D101" s="19" t="s">
        <v>604</v>
      </c>
      <c r="E101" s="16"/>
    </row>
    <row r="102" spans="2:5" x14ac:dyDescent="0.25">
      <c r="B102" s="5">
        <v>9902</v>
      </c>
      <c r="C102" s="5">
        <v>30601</v>
      </c>
      <c r="D102" s="19" t="s">
        <v>605</v>
      </c>
      <c r="E102" s="16"/>
    </row>
    <row r="103" spans="2:5" x14ac:dyDescent="0.25">
      <c r="B103" s="5">
        <v>9902</v>
      </c>
      <c r="C103" s="5">
        <v>30602</v>
      </c>
      <c r="D103" s="19" t="s">
        <v>606</v>
      </c>
      <c r="E103" s="16"/>
    </row>
    <row r="104" spans="2:5" x14ac:dyDescent="0.25">
      <c r="B104" s="5">
        <v>9902</v>
      </c>
      <c r="C104" s="5">
        <v>30603</v>
      </c>
      <c r="D104" s="19" t="s">
        <v>607</v>
      </c>
      <c r="E104" s="16"/>
    </row>
    <row r="105" spans="2:5" x14ac:dyDescent="0.25">
      <c r="B105" s="5">
        <v>9902</v>
      </c>
      <c r="C105" s="5">
        <v>30604</v>
      </c>
      <c r="D105" s="19" t="s">
        <v>608</v>
      </c>
      <c r="E105" s="16"/>
    </row>
    <row r="106" spans="2:5" x14ac:dyDescent="0.25">
      <c r="B106" s="5">
        <v>9902</v>
      </c>
      <c r="C106" s="5">
        <v>30605</v>
      </c>
      <c r="D106" s="19" t="s">
        <v>609</v>
      </c>
      <c r="E106" s="16"/>
    </row>
    <row r="107" spans="2:5" x14ac:dyDescent="0.25">
      <c r="B107" s="5">
        <v>9902</v>
      </c>
      <c r="C107" s="5">
        <v>30606</v>
      </c>
      <c r="D107" s="19" t="s">
        <v>610</v>
      </c>
      <c r="E107" s="16"/>
    </row>
    <row r="108" spans="2:5" x14ac:dyDescent="0.25">
      <c r="B108" s="5">
        <v>9902</v>
      </c>
      <c r="C108" s="5">
        <v>30607</v>
      </c>
      <c r="D108" s="19" t="s">
        <v>611</v>
      </c>
      <c r="E108" s="16"/>
    </row>
    <row r="109" spans="2:5" x14ac:dyDescent="0.25">
      <c r="B109" s="5">
        <v>9902</v>
      </c>
      <c r="C109" s="5">
        <v>30701</v>
      </c>
      <c r="D109" s="19" t="s">
        <v>612</v>
      </c>
      <c r="E109" s="16"/>
    </row>
    <row r="110" spans="2:5" x14ac:dyDescent="0.25">
      <c r="B110" s="5">
        <v>9902</v>
      </c>
      <c r="C110" s="5">
        <v>30702</v>
      </c>
      <c r="D110" s="19" t="s">
        <v>613</v>
      </c>
      <c r="E110" s="16"/>
    </row>
    <row r="111" spans="2:5" x14ac:dyDescent="0.25">
      <c r="B111" s="5">
        <v>990201</v>
      </c>
      <c r="C111" s="5">
        <v>301</v>
      </c>
      <c r="D111" s="19" t="s">
        <v>614</v>
      </c>
      <c r="E111" s="16"/>
    </row>
    <row r="112" spans="2:5" x14ac:dyDescent="0.25">
      <c r="B112" s="5">
        <v>990201</v>
      </c>
      <c r="C112" s="5">
        <v>302</v>
      </c>
      <c r="D112" s="19" t="s">
        <v>615</v>
      </c>
      <c r="E112" s="16"/>
    </row>
    <row r="113" spans="2:5" x14ac:dyDescent="0.25">
      <c r="B113" s="5">
        <v>990201</v>
      </c>
      <c r="C113" s="5">
        <v>303</v>
      </c>
      <c r="D113" s="19" t="s">
        <v>616</v>
      </c>
      <c r="E113" s="16"/>
    </row>
    <row r="114" spans="2:5" x14ac:dyDescent="0.25">
      <c r="B114" s="5">
        <v>990201</v>
      </c>
      <c r="C114" s="5">
        <v>30401</v>
      </c>
      <c r="D114" s="19" t="s">
        <v>617</v>
      </c>
      <c r="E114" s="16"/>
    </row>
    <row r="115" spans="2:5" x14ac:dyDescent="0.25">
      <c r="B115" s="5">
        <v>990201</v>
      </c>
      <c r="C115" s="5">
        <v>30402</v>
      </c>
      <c r="D115" s="19" t="s">
        <v>618</v>
      </c>
      <c r="E115" s="16"/>
    </row>
    <row r="116" spans="2:5" x14ac:dyDescent="0.25">
      <c r="B116" s="5">
        <v>990201</v>
      </c>
      <c r="C116" s="5">
        <v>30501</v>
      </c>
      <c r="D116" s="19" t="s">
        <v>619</v>
      </c>
      <c r="E116" s="16"/>
    </row>
    <row r="117" spans="2:5" x14ac:dyDescent="0.25">
      <c r="B117" s="5">
        <v>990201</v>
      </c>
      <c r="C117" s="5">
        <v>30502</v>
      </c>
      <c r="D117" s="19" t="s">
        <v>620</v>
      </c>
      <c r="E117" s="16"/>
    </row>
    <row r="118" spans="2:5" x14ac:dyDescent="0.25">
      <c r="B118" s="5">
        <v>990201</v>
      </c>
      <c r="C118" s="5">
        <v>30503</v>
      </c>
      <c r="D118" s="19" t="s">
        <v>621</v>
      </c>
      <c r="E118" s="16"/>
    </row>
    <row r="119" spans="2:5" x14ac:dyDescent="0.25">
      <c r="B119" s="5">
        <v>990201</v>
      </c>
      <c r="C119" s="5">
        <v>30504</v>
      </c>
      <c r="D119" s="19" t="s">
        <v>622</v>
      </c>
      <c r="E119" s="16"/>
    </row>
    <row r="120" spans="2:5" x14ac:dyDescent="0.25">
      <c r="B120" s="5">
        <v>990201</v>
      </c>
      <c r="C120" s="5">
        <v>30601</v>
      </c>
      <c r="D120" s="19" t="s">
        <v>623</v>
      </c>
      <c r="E120" s="16"/>
    </row>
    <row r="121" spans="2:5" x14ac:dyDescent="0.25">
      <c r="B121" s="5">
        <v>990201</v>
      </c>
      <c r="C121" s="5">
        <v>30602</v>
      </c>
      <c r="D121" s="19" t="s">
        <v>624</v>
      </c>
      <c r="E121" s="16"/>
    </row>
    <row r="122" spans="2:5" x14ac:dyDescent="0.25">
      <c r="B122" s="5">
        <v>990201</v>
      </c>
      <c r="C122" s="5">
        <v>30603</v>
      </c>
      <c r="D122" s="19" t="s">
        <v>625</v>
      </c>
      <c r="E122" s="16"/>
    </row>
    <row r="123" spans="2:5" x14ac:dyDescent="0.25">
      <c r="B123" s="5">
        <v>990201</v>
      </c>
      <c r="C123" s="5">
        <v>30604</v>
      </c>
      <c r="D123" s="19" t="s">
        <v>626</v>
      </c>
      <c r="E123" s="16"/>
    </row>
    <row r="124" spans="2:5" x14ac:dyDescent="0.25">
      <c r="B124" s="5">
        <v>990201</v>
      </c>
      <c r="C124" s="5">
        <v>30605</v>
      </c>
      <c r="D124" s="19" t="s">
        <v>627</v>
      </c>
      <c r="E124" s="16"/>
    </row>
    <row r="125" spans="2:5" x14ac:dyDescent="0.25">
      <c r="B125" s="5">
        <v>990201</v>
      </c>
      <c r="C125" s="5">
        <v>30606</v>
      </c>
      <c r="D125" s="19" t="s">
        <v>628</v>
      </c>
      <c r="E125" s="16"/>
    </row>
    <row r="126" spans="2:5" x14ac:dyDescent="0.25">
      <c r="B126" s="5">
        <v>990201</v>
      </c>
      <c r="C126" s="5">
        <v>30607</v>
      </c>
      <c r="D126" s="19" t="s">
        <v>629</v>
      </c>
      <c r="E126" s="16"/>
    </row>
    <row r="127" spans="2:5" x14ac:dyDescent="0.25">
      <c r="B127" s="5">
        <v>990201</v>
      </c>
      <c r="C127" s="5">
        <v>30701</v>
      </c>
      <c r="D127" s="19" t="s">
        <v>630</v>
      </c>
      <c r="E127" s="16"/>
    </row>
    <row r="128" spans="2:5" x14ac:dyDescent="0.25">
      <c r="B128" s="5">
        <v>990201</v>
      </c>
      <c r="C128" s="5">
        <v>30702</v>
      </c>
      <c r="D128" s="19" t="s">
        <v>631</v>
      </c>
      <c r="E128" s="16"/>
    </row>
    <row r="129" spans="2:5" x14ac:dyDescent="0.25">
      <c r="B129" s="5">
        <v>990202</v>
      </c>
      <c r="C129" s="5">
        <v>301</v>
      </c>
      <c r="D129" s="19" t="s">
        <v>632</v>
      </c>
      <c r="E129" s="16"/>
    </row>
    <row r="130" spans="2:5" x14ac:dyDescent="0.25">
      <c r="B130" s="5">
        <v>990202</v>
      </c>
      <c r="C130" s="5">
        <v>302</v>
      </c>
      <c r="D130" s="19" t="s">
        <v>633</v>
      </c>
      <c r="E130" s="16"/>
    </row>
    <row r="131" spans="2:5" x14ac:dyDescent="0.25">
      <c r="B131" s="5">
        <v>990202</v>
      </c>
      <c r="C131" s="5">
        <v>303</v>
      </c>
      <c r="D131" s="19" t="s">
        <v>634</v>
      </c>
      <c r="E131" s="16"/>
    </row>
    <row r="132" spans="2:5" x14ac:dyDescent="0.25">
      <c r="B132" s="5">
        <v>990202</v>
      </c>
      <c r="C132" s="5">
        <v>30401</v>
      </c>
      <c r="D132" s="19" t="s">
        <v>635</v>
      </c>
      <c r="E132" s="16"/>
    </row>
    <row r="133" spans="2:5" x14ac:dyDescent="0.25">
      <c r="B133" s="5">
        <v>990202</v>
      </c>
      <c r="C133" s="5">
        <v>30402</v>
      </c>
      <c r="D133" s="19" t="s">
        <v>636</v>
      </c>
      <c r="E133" s="16"/>
    </row>
    <row r="134" spans="2:5" x14ac:dyDescent="0.25">
      <c r="B134" s="5">
        <v>990202</v>
      </c>
      <c r="C134" s="5">
        <v>30501</v>
      </c>
      <c r="D134" s="19" t="s">
        <v>637</v>
      </c>
      <c r="E134" s="16"/>
    </row>
    <row r="135" spans="2:5" x14ac:dyDescent="0.25">
      <c r="B135" s="5">
        <v>990202</v>
      </c>
      <c r="C135" s="5">
        <v>30502</v>
      </c>
      <c r="D135" s="19" t="s">
        <v>638</v>
      </c>
      <c r="E135" s="16"/>
    </row>
    <row r="136" spans="2:5" x14ac:dyDescent="0.25">
      <c r="B136" s="5">
        <v>990202</v>
      </c>
      <c r="C136" s="5">
        <v>30503</v>
      </c>
      <c r="D136" s="19" t="s">
        <v>639</v>
      </c>
      <c r="E136" s="16"/>
    </row>
    <row r="137" spans="2:5" x14ac:dyDescent="0.25">
      <c r="B137" s="5">
        <v>990202</v>
      </c>
      <c r="C137" s="5">
        <v>30504</v>
      </c>
      <c r="D137" s="19" t="s">
        <v>640</v>
      </c>
      <c r="E137" s="16"/>
    </row>
    <row r="138" spans="2:5" x14ac:dyDescent="0.25">
      <c r="B138" s="5">
        <v>990202</v>
      </c>
      <c r="C138" s="5">
        <v>30601</v>
      </c>
      <c r="D138" s="19" t="s">
        <v>641</v>
      </c>
      <c r="E138" s="16"/>
    </row>
    <row r="139" spans="2:5" x14ac:dyDescent="0.25">
      <c r="B139" s="5">
        <v>990202</v>
      </c>
      <c r="C139" s="5">
        <v>30602</v>
      </c>
      <c r="D139" s="19" t="s">
        <v>642</v>
      </c>
      <c r="E139" s="16"/>
    </row>
    <row r="140" spans="2:5" x14ac:dyDescent="0.25">
      <c r="B140" s="5">
        <v>990202</v>
      </c>
      <c r="C140" s="5">
        <v>30603</v>
      </c>
      <c r="D140" s="19" t="s">
        <v>643</v>
      </c>
      <c r="E140" s="16"/>
    </row>
    <row r="141" spans="2:5" x14ac:dyDescent="0.25">
      <c r="B141" s="5">
        <v>990202</v>
      </c>
      <c r="C141" s="5">
        <v>30604</v>
      </c>
      <c r="D141" s="19" t="s">
        <v>644</v>
      </c>
      <c r="E141" s="16"/>
    </row>
    <row r="142" spans="2:5" x14ac:dyDescent="0.25">
      <c r="B142" s="5">
        <v>990202</v>
      </c>
      <c r="C142" s="5">
        <v>30605</v>
      </c>
      <c r="D142" s="19" t="s">
        <v>645</v>
      </c>
      <c r="E142" s="16"/>
    </row>
    <row r="143" spans="2:5" x14ac:dyDescent="0.25">
      <c r="B143" s="5">
        <v>990202</v>
      </c>
      <c r="C143" s="5">
        <v>30606</v>
      </c>
      <c r="D143" s="19" t="s">
        <v>646</v>
      </c>
      <c r="E143" s="16"/>
    </row>
    <row r="144" spans="2:5" x14ac:dyDescent="0.25">
      <c r="B144" s="5">
        <v>990202</v>
      </c>
      <c r="C144" s="5">
        <v>30607</v>
      </c>
      <c r="D144" s="19" t="s">
        <v>647</v>
      </c>
      <c r="E144" s="16"/>
    </row>
    <row r="145" spans="2:5" x14ac:dyDescent="0.25">
      <c r="B145" s="5">
        <v>990202</v>
      </c>
      <c r="C145" s="5">
        <v>30701</v>
      </c>
      <c r="D145" s="19" t="s">
        <v>648</v>
      </c>
      <c r="E145" s="16"/>
    </row>
    <row r="146" spans="2:5" x14ac:dyDescent="0.25">
      <c r="B146" s="5">
        <v>990202</v>
      </c>
      <c r="C146" s="5">
        <v>30702</v>
      </c>
      <c r="D146" s="19" t="s">
        <v>649</v>
      </c>
      <c r="E146" s="16"/>
    </row>
    <row r="147" spans="2:5" x14ac:dyDescent="0.25">
      <c r="B147" s="5">
        <v>990203</v>
      </c>
      <c r="C147" s="5">
        <v>301</v>
      </c>
      <c r="D147" s="19" t="s">
        <v>650</v>
      </c>
      <c r="E147" s="16"/>
    </row>
    <row r="148" spans="2:5" x14ac:dyDescent="0.25">
      <c r="B148" s="5">
        <v>990203</v>
      </c>
      <c r="C148" s="5">
        <v>302</v>
      </c>
      <c r="D148" s="19" t="s">
        <v>651</v>
      </c>
      <c r="E148" s="16"/>
    </row>
    <row r="149" spans="2:5" x14ac:dyDescent="0.25">
      <c r="B149" s="5">
        <v>990203</v>
      </c>
      <c r="C149" s="5">
        <v>303</v>
      </c>
      <c r="D149" s="19" t="s">
        <v>652</v>
      </c>
      <c r="E149" s="16"/>
    </row>
    <row r="150" spans="2:5" x14ac:dyDescent="0.25">
      <c r="B150" s="5">
        <v>990203</v>
      </c>
      <c r="C150" s="5">
        <v>30401</v>
      </c>
      <c r="D150" s="19" t="s">
        <v>653</v>
      </c>
      <c r="E150" s="16"/>
    </row>
    <row r="151" spans="2:5" x14ac:dyDescent="0.25">
      <c r="B151" s="5">
        <v>990203</v>
      </c>
      <c r="C151" s="5">
        <v>30402</v>
      </c>
      <c r="D151" s="19" t="s">
        <v>654</v>
      </c>
      <c r="E151" s="16"/>
    </row>
    <row r="152" spans="2:5" x14ac:dyDescent="0.25">
      <c r="B152" s="5">
        <v>990203</v>
      </c>
      <c r="C152" s="5">
        <v>30501</v>
      </c>
      <c r="D152" s="19" t="s">
        <v>655</v>
      </c>
      <c r="E152" s="16"/>
    </row>
    <row r="153" spans="2:5" x14ac:dyDescent="0.25">
      <c r="B153" s="5">
        <v>990203</v>
      </c>
      <c r="C153" s="5">
        <v>30502</v>
      </c>
      <c r="D153" s="19" t="s">
        <v>656</v>
      </c>
      <c r="E153" s="16"/>
    </row>
    <row r="154" spans="2:5" x14ac:dyDescent="0.25">
      <c r="B154" s="5">
        <v>990203</v>
      </c>
      <c r="C154" s="5">
        <v>30503</v>
      </c>
      <c r="D154" s="19" t="s">
        <v>657</v>
      </c>
      <c r="E154" s="16"/>
    </row>
    <row r="155" spans="2:5" x14ac:dyDescent="0.25">
      <c r="B155" s="5">
        <v>990203</v>
      </c>
      <c r="C155" s="5">
        <v>30504</v>
      </c>
      <c r="D155" s="19" t="s">
        <v>658</v>
      </c>
      <c r="E155" s="16"/>
    </row>
    <row r="156" spans="2:5" x14ac:dyDescent="0.25">
      <c r="B156" s="5">
        <v>990203</v>
      </c>
      <c r="C156" s="5">
        <v>30601</v>
      </c>
      <c r="D156" s="19" t="s">
        <v>659</v>
      </c>
      <c r="E156" s="16"/>
    </row>
    <row r="157" spans="2:5" x14ac:dyDescent="0.25">
      <c r="B157" s="5">
        <v>990203</v>
      </c>
      <c r="C157" s="5">
        <v>30602</v>
      </c>
      <c r="D157" s="19" t="s">
        <v>660</v>
      </c>
      <c r="E157" s="16"/>
    </row>
    <row r="158" spans="2:5" x14ac:dyDescent="0.25">
      <c r="B158" s="5">
        <v>990203</v>
      </c>
      <c r="C158" s="5">
        <v>30603</v>
      </c>
      <c r="D158" s="19" t="s">
        <v>661</v>
      </c>
      <c r="E158" s="16"/>
    </row>
    <row r="159" spans="2:5" x14ac:dyDescent="0.25">
      <c r="B159" s="5">
        <v>990203</v>
      </c>
      <c r="C159" s="5">
        <v>30604</v>
      </c>
      <c r="D159" s="19" t="s">
        <v>662</v>
      </c>
      <c r="E159" s="16"/>
    </row>
    <row r="160" spans="2:5" x14ac:dyDescent="0.25">
      <c r="B160" s="5">
        <v>990203</v>
      </c>
      <c r="C160" s="5">
        <v>30605</v>
      </c>
      <c r="D160" s="19" t="s">
        <v>663</v>
      </c>
      <c r="E160" s="16"/>
    </row>
    <row r="161" spans="2:5" x14ac:dyDescent="0.25">
      <c r="B161" s="5">
        <v>990203</v>
      </c>
      <c r="C161" s="5">
        <v>30606</v>
      </c>
      <c r="D161" s="19" t="s">
        <v>664</v>
      </c>
      <c r="E161" s="16"/>
    </row>
    <row r="162" spans="2:5" x14ac:dyDescent="0.25">
      <c r="B162" s="5">
        <v>990203</v>
      </c>
      <c r="C162" s="5">
        <v>30607</v>
      </c>
      <c r="D162" s="19" t="s">
        <v>665</v>
      </c>
      <c r="E162" s="16"/>
    </row>
    <row r="163" spans="2:5" x14ac:dyDescent="0.25">
      <c r="B163" s="5">
        <v>990203</v>
      </c>
      <c r="C163" s="5">
        <v>30701</v>
      </c>
      <c r="D163" s="19" t="s">
        <v>666</v>
      </c>
      <c r="E163" s="16"/>
    </row>
    <row r="164" spans="2:5" x14ac:dyDescent="0.25">
      <c r="B164" s="5">
        <v>990203</v>
      </c>
      <c r="C164" s="5">
        <v>30702</v>
      </c>
      <c r="D164" s="19" t="s">
        <v>667</v>
      </c>
      <c r="E164" s="16"/>
    </row>
    <row r="165" spans="2:5" x14ac:dyDescent="0.25">
      <c r="B165" s="5">
        <v>990204</v>
      </c>
      <c r="C165" s="5">
        <v>301</v>
      </c>
      <c r="D165" s="19" t="s">
        <v>668</v>
      </c>
      <c r="E165" s="16"/>
    </row>
    <row r="166" spans="2:5" x14ac:dyDescent="0.25">
      <c r="B166" s="5">
        <v>990204</v>
      </c>
      <c r="C166" s="5">
        <v>302</v>
      </c>
      <c r="D166" s="19" t="s">
        <v>669</v>
      </c>
      <c r="E166" s="16"/>
    </row>
    <row r="167" spans="2:5" x14ac:dyDescent="0.25">
      <c r="B167" s="5">
        <v>990204</v>
      </c>
      <c r="C167" s="5">
        <v>303</v>
      </c>
      <c r="D167" s="19" t="s">
        <v>670</v>
      </c>
      <c r="E167" s="16"/>
    </row>
    <row r="168" spans="2:5" x14ac:dyDescent="0.25">
      <c r="B168" s="5">
        <v>990204</v>
      </c>
      <c r="C168" s="5">
        <v>30401</v>
      </c>
      <c r="D168" s="19" t="s">
        <v>671</v>
      </c>
      <c r="E168" s="16"/>
    </row>
    <row r="169" spans="2:5" x14ac:dyDescent="0.25">
      <c r="B169" s="5">
        <v>990204</v>
      </c>
      <c r="C169" s="5">
        <v>30402</v>
      </c>
      <c r="D169" s="19" t="s">
        <v>672</v>
      </c>
      <c r="E169" s="16"/>
    </row>
    <row r="170" spans="2:5" x14ac:dyDescent="0.25">
      <c r="B170" s="5">
        <v>990204</v>
      </c>
      <c r="C170" s="5">
        <v>30501</v>
      </c>
      <c r="D170" s="19" t="s">
        <v>673</v>
      </c>
      <c r="E170" s="16"/>
    </row>
    <row r="171" spans="2:5" x14ac:dyDescent="0.25">
      <c r="B171" s="5">
        <v>990204</v>
      </c>
      <c r="C171" s="5">
        <v>30502</v>
      </c>
      <c r="D171" s="19" t="s">
        <v>674</v>
      </c>
      <c r="E171" s="16"/>
    </row>
    <row r="172" spans="2:5" x14ac:dyDescent="0.25">
      <c r="B172" s="5">
        <v>990204</v>
      </c>
      <c r="C172" s="5">
        <v>30503</v>
      </c>
      <c r="D172" s="19" t="s">
        <v>674</v>
      </c>
      <c r="E172" s="16"/>
    </row>
    <row r="173" spans="2:5" x14ac:dyDescent="0.25">
      <c r="B173" s="5">
        <v>990204</v>
      </c>
      <c r="C173" s="5">
        <v>30504</v>
      </c>
      <c r="D173" s="19" t="s">
        <v>675</v>
      </c>
      <c r="E173" s="16"/>
    </row>
    <row r="174" spans="2:5" x14ac:dyDescent="0.25">
      <c r="B174" s="5">
        <v>990204</v>
      </c>
      <c r="C174" s="5">
        <v>30601</v>
      </c>
      <c r="D174" s="19" t="s">
        <v>676</v>
      </c>
      <c r="E174" s="16"/>
    </row>
    <row r="175" spans="2:5" x14ac:dyDescent="0.25">
      <c r="B175" s="5">
        <v>990204</v>
      </c>
      <c r="C175" s="5">
        <v>30602</v>
      </c>
      <c r="D175" s="19" t="s">
        <v>677</v>
      </c>
      <c r="E175" s="16"/>
    </row>
    <row r="176" spans="2:5" x14ac:dyDescent="0.25">
      <c r="B176" s="5">
        <v>990204</v>
      </c>
      <c r="C176" s="5">
        <v>30603</v>
      </c>
      <c r="D176" s="19" t="s">
        <v>678</v>
      </c>
      <c r="E176" s="16"/>
    </row>
    <row r="177" spans="2:5" x14ac:dyDescent="0.25">
      <c r="B177" s="5">
        <v>990204</v>
      </c>
      <c r="C177" s="5">
        <v>30604</v>
      </c>
      <c r="D177" s="19" t="s">
        <v>679</v>
      </c>
      <c r="E177" s="16"/>
    </row>
    <row r="178" spans="2:5" x14ac:dyDescent="0.25">
      <c r="B178" s="5">
        <v>990204</v>
      </c>
      <c r="C178" s="5">
        <v>30605</v>
      </c>
      <c r="D178" s="19" t="s">
        <v>680</v>
      </c>
      <c r="E178" s="16"/>
    </row>
    <row r="179" spans="2:5" x14ac:dyDescent="0.25">
      <c r="B179" s="5">
        <v>990204</v>
      </c>
      <c r="C179" s="5">
        <v>30606</v>
      </c>
      <c r="D179" s="19" t="s">
        <v>681</v>
      </c>
      <c r="E179" s="16"/>
    </row>
    <row r="180" spans="2:5" x14ac:dyDescent="0.25">
      <c r="B180" s="5">
        <v>990204</v>
      </c>
      <c r="C180" s="5">
        <v>30607</v>
      </c>
      <c r="D180" s="19" t="s">
        <v>682</v>
      </c>
      <c r="E180" s="16"/>
    </row>
    <row r="181" spans="2:5" x14ac:dyDescent="0.25">
      <c r="B181" s="5">
        <v>990204</v>
      </c>
      <c r="C181" s="5">
        <v>30701</v>
      </c>
      <c r="D181" s="19" t="s">
        <v>683</v>
      </c>
      <c r="E181" s="16"/>
    </row>
    <row r="182" spans="2:5" x14ac:dyDescent="0.25">
      <c r="B182" s="5">
        <v>990204</v>
      </c>
      <c r="C182" s="5">
        <v>30702</v>
      </c>
      <c r="D182" s="19" t="s">
        <v>684</v>
      </c>
      <c r="E182" s="16"/>
    </row>
    <row r="183" spans="2:5" x14ac:dyDescent="0.25">
      <c r="B183" s="5">
        <v>990205</v>
      </c>
      <c r="C183" s="5">
        <v>301</v>
      </c>
      <c r="D183" s="19" t="s">
        <v>685</v>
      </c>
      <c r="E183" s="16"/>
    </row>
    <row r="184" spans="2:5" x14ac:dyDescent="0.25">
      <c r="B184" s="5">
        <v>990205</v>
      </c>
      <c r="C184" s="5">
        <v>302</v>
      </c>
      <c r="D184" s="19" t="s">
        <v>686</v>
      </c>
      <c r="E184" s="16"/>
    </row>
    <row r="185" spans="2:5" x14ac:dyDescent="0.25">
      <c r="B185" s="5">
        <v>990205</v>
      </c>
      <c r="C185" s="5">
        <v>303</v>
      </c>
      <c r="D185" s="19" t="s">
        <v>687</v>
      </c>
      <c r="E185" s="16"/>
    </row>
    <row r="186" spans="2:5" x14ac:dyDescent="0.25">
      <c r="B186" s="5">
        <v>990205</v>
      </c>
      <c r="C186" s="5">
        <v>30401</v>
      </c>
      <c r="D186" s="19" t="s">
        <v>688</v>
      </c>
      <c r="E186" s="16"/>
    </row>
    <row r="187" spans="2:5" x14ac:dyDescent="0.25">
      <c r="B187" s="5">
        <v>990205</v>
      </c>
      <c r="C187" s="5">
        <v>30402</v>
      </c>
      <c r="D187" s="19" t="s">
        <v>689</v>
      </c>
      <c r="E187" s="16"/>
    </row>
    <row r="188" spans="2:5" x14ac:dyDescent="0.25">
      <c r="B188" s="5">
        <v>990205</v>
      </c>
      <c r="C188" s="5">
        <v>30501</v>
      </c>
      <c r="D188" s="19" t="s">
        <v>690</v>
      </c>
      <c r="E188" s="16"/>
    </row>
    <row r="189" spans="2:5" x14ac:dyDescent="0.25">
      <c r="B189" s="5">
        <v>990205</v>
      </c>
      <c r="C189" s="5">
        <v>30502</v>
      </c>
      <c r="D189" s="19" t="s">
        <v>691</v>
      </c>
      <c r="E189" s="16"/>
    </row>
    <row r="190" spans="2:5" x14ac:dyDescent="0.25">
      <c r="B190" s="5">
        <v>990205</v>
      </c>
      <c r="C190" s="5">
        <v>30503</v>
      </c>
      <c r="D190" s="19" t="s">
        <v>692</v>
      </c>
      <c r="E190" s="16"/>
    </row>
    <row r="191" spans="2:5" x14ac:dyDescent="0.25">
      <c r="B191" s="5">
        <v>990205</v>
      </c>
      <c r="C191" s="5">
        <v>30504</v>
      </c>
      <c r="D191" s="19" t="s">
        <v>693</v>
      </c>
      <c r="E191" s="16"/>
    </row>
    <row r="192" spans="2:5" x14ac:dyDescent="0.25">
      <c r="B192" s="5">
        <v>990205</v>
      </c>
      <c r="C192" s="5">
        <v>30601</v>
      </c>
      <c r="D192" s="19" t="s">
        <v>694</v>
      </c>
      <c r="E192" s="16"/>
    </row>
    <row r="193" spans="2:5" x14ac:dyDescent="0.25">
      <c r="B193" s="5">
        <v>990205</v>
      </c>
      <c r="C193" s="5">
        <v>30602</v>
      </c>
      <c r="D193" s="19" t="s">
        <v>695</v>
      </c>
      <c r="E193" s="16"/>
    </row>
    <row r="194" spans="2:5" x14ac:dyDescent="0.25">
      <c r="B194" s="5">
        <v>990205</v>
      </c>
      <c r="C194" s="5">
        <v>30603</v>
      </c>
      <c r="D194" s="19" t="s">
        <v>696</v>
      </c>
      <c r="E194" s="16"/>
    </row>
    <row r="195" spans="2:5" x14ac:dyDescent="0.25">
      <c r="B195" s="5">
        <v>990205</v>
      </c>
      <c r="C195" s="5">
        <v>30604</v>
      </c>
      <c r="D195" s="19" t="s">
        <v>697</v>
      </c>
      <c r="E195" s="16"/>
    </row>
    <row r="196" spans="2:5" x14ac:dyDescent="0.25">
      <c r="B196" s="5">
        <v>990205</v>
      </c>
      <c r="C196" s="5">
        <v>30605</v>
      </c>
      <c r="D196" s="19" t="s">
        <v>698</v>
      </c>
      <c r="E196" s="16"/>
    </row>
    <row r="197" spans="2:5" x14ac:dyDescent="0.25">
      <c r="B197" s="5">
        <v>990205</v>
      </c>
      <c r="C197" s="5">
        <v>30606</v>
      </c>
      <c r="D197" s="19" t="s">
        <v>699</v>
      </c>
      <c r="E197" s="16"/>
    </row>
    <row r="198" spans="2:5" x14ac:dyDescent="0.25">
      <c r="B198" s="5">
        <v>990205</v>
      </c>
      <c r="C198" s="5">
        <v>30607</v>
      </c>
      <c r="D198" s="19" t="s">
        <v>700</v>
      </c>
      <c r="E198" s="16"/>
    </row>
    <row r="199" spans="2:5" x14ac:dyDescent="0.25">
      <c r="B199" s="5">
        <v>990205</v>
      </c>
      <c r="C199" s="5">
        <v>30701</v>
      </c>
      <c r="D199" s="19" t="s">
        <v>701</v>
      </c>
      <c r="E199" s="16"/>
    </row>
    <row r="200" spans="2:5" x14ac:dyDescent="0.25">
      <c r="B200" s="5">
        <v>990205</v>
      </c>
      <c r="C200" s="5">
        <v>30702</v>
      </c>
      <c r="D200" s="19" t="s">
        <v>702</v>
      </c>
      <c r="E200" s="16"/>
    </row>
    <row r="201" spans="2:5" x14ac:dyDescent="0.25">
      <c r="B201" s="5">
        <v>990206</v>
      </c>
      <c r="C201" s="5">
        <v>301</v>
      </c>
      <c r="D201" s="20" t="s">
        <v>703</v>
      </c>
      <c r="E201" s="16"/>
    </row>
    <row r="202" spans="2:5" x14ac:dyDescent="0.25">
      <c r="B202" s="5">
        <v>990206</v>
      </c>
      <c r="C202" s="5">
        <v>302</v>
      </c>
      <c r="D202" s="20" t="s">
        <v>704</v>
      </c>
      <c r="E202" s="16"/>
    </row>
    <row r="203" spans="2:5" x14ac:dyDescent="0.25">
      <c r="B203" s="5">
        <v>990206</v>
      </c>
      <c r="C203" s="5">
        <v>303</v>
      </c>
      <c r="D203" s="20" t="s">
        <v>705</v>
      </c>
      <c r="E203" s="16"/>
    </row>
    <row r="204" spans="2:5" x14ac:dyDescent="0.25">
      <c r="B204" s="5">
        <v>990206</v>
      </c>
      <c r="C204" s="5">
        <v>30401</v>
      </c>
      <c r="D204" s="20" t="s">
        <v>706</v>
      </c>
      <c r="E204" s="16"/>
    </row>
    <row r="205" spans="2:5" x14ac:dyDescent="0.25">
      <c r="B205" s="5">
        <v>990206</v>
      </c>
      <c r="C205" s="5">
        <v>30402</v>
      </c>
      <c r="D205" s="20" t="s">
        <v>707</v>
      </c>
      <c r="E205" s="16"/>
    </row>
    <row r="206" spans="2:5" x14ac:dyDescent="0.25">
      <c r="B206" s="5">
        <v>990206</v>
      </c>
      <c r="C206" s="5">
        <v>30501</v>
      </c>
      <c r="D206" s="20" t="s">
        <v>708</v>
      </c>
      <c r="E206" s="16"/>
    </row>
    <row r="207" spans="2:5" x14ac:dyDescent="0.25">
      <c r="B207" s="5">
        <v>990206</v>
      </c>
      <c r="C207" s="5">
        <v>30502</v>
      </c>
      <c r="D207" s="20" t="s">
        <v>709</v>
      </c>
      <c r="E207" s="16"/>
    </row>
    <row r="208" spans="2:5" x14ac:dyDescent="0.25">
      <c r="B208" s="5">
        <v>990206</v>
      </c>
      <c r="C208" s="5">
        <v>30503</v>
      </c>
      <c r="D208" s="20" t="s">
        <v>710</v>
      </c>
      <c r="E208" s="16"/>
    </row>
    <row r="209" spans="2:5" x14ac:dyDescent="0.25">
      <c r="B209" s="5">
        <v>990206</v>
      </c>
      <c r="C209" s="5">
        <v>30504</v>
      </c>
      <c r="D209" s="20" t="s">
        <v>711</v>
      </c>
      <c r="E209" s="16"/>
    </row>
    <row r="210" spans="2:5" x14ac:dyDescent="0.25">
      <c r="B210" s="5">
        <v>990206</v>
      </c>
      <c r="C210" s="5">
        <v>30601</v>
      </c>
      <c r="D210" s="20" t="s">
        <v>712</v>
      </c>
      <c r="E210" s="16"/>
    </row>
    <row r="211" spans="2:5" x14ac:dyDescent="0.25">
      <c r="B211" s="5">
        <v>990206</v>
      </c>
      <c r="C211" s="5">
        <v>30602</v>
      </c>
      <c r="D211" s="20" t="s">
        <v>713</v>
      </c>
      <c r="E211" s="16"/>
    </row>
    <row r="212" spans="2:5" x14ac:dyDescent="0.25">
      <c r="B212" s="5">
        <v>990206</v>
      </c>
      <c r="C212" s="5">
        <v>30603</v>
      </c>
      <c r="D212" s="20" t="s">
        <v>714</v>
      </c>
      <c r="E212" s="16"/>
    </row>
    <row r="213" spans="2:5" x14ac:dyDescent="0.25">
      <c r="B213" s="5">
        <v>990206</v>
      </c>
      <c r="C213" s="5">
        <v>30604</v>
      </c>
      <c r="D213" s="20" t="s">
        <v>715</v>
      </c>
      <c r="E213" s="16"/>
    </row>
    <row r="214" spans="2:5" x14ac:dyDescent="0.25">
      <c r="B214" s="5">
        <v>990206</v>
      </c>
      <c r="C214" s="5">
        <v>30605</v>
      </c>
      <c r="D214" s="20" t="s">
        <v>716</v>
      </c>
      <c r="E214" s="16"/>
    </row>
    <row r="215" spans="2:5" x14ac:dyDescent="0.25">
      <c r="B215" s="5">
        <v>990206</v>
      </c>
      <c r="C215" s="5">
        <v>30606</v>
      </c>
      <c r="D215" s="20" t="s">
        <v>717</v>
      </c>
      <c r="E215" s="16"/>
    </row>
    <row r="216" spans="2:5" x14ac:dyDescent="0.25">
      <c r="B216" s="5">
        <v>990206</v>
      </c>
      <c r="C216" s="5">
        <v>30607</v>
      </c>
      <c r="D216" s="20" t="s">
        <v>718</v>
      </c>
      <c r="E216" s="17"/>
    </row>
    <row r="217" spans="2:5" x14ac:dyDescent="0.25">
      <c r="B217" s="5">
        <v>990206</v>
      </c>
      <c r="C217" s="5">
        <v>30701</v>
      </c>
      <c r="D217" s="20" t="s">
        <v>719</v>
      </c>
      <c r="E217" s="17"/>
    </row>
    <row r="218" spans="2:5" x14ac:dyDescent="0.25">
      <c r="B218" s="5">
        <v>990206</v>
      </c>
      <c r="C218" s="5">
        <v>30702</v>
      </c>
      <c r="D218" s="20" t="s">
        <v>720</v>
      </c>
      <c r="E218" s="17"/>
    </row>
    <row r="219" spans="2:5" x14ac:dyDescent="0.25">
      <c r="B219" s="5">
        <v>990207</v>
      </c>
      <c r="C219" s="5">
        <v>301</v>
      </c>
      <c r="D219" s="19" t="s">
        <v>721</v>
      </c>
      <c r="E219" s="16"/>
    </row>
    <row r="220" spans="2:5" x14ac:dyDescent="0.25">
      <c r="B220" s="5">
        <v>990207</v>
      </c>
      <c r="C220" s="5">
        <v>302</v>
      </c>
      <c r="D220" s="19" t="s">
        <v>722</v>
      </c>
      <c r="E220" s="16"/>
    </row>
    <row r="221" spans="2:5" x14ac:dyDescent="0.25">
      <c r="B221" s="5">
        <v>990207</v>
      </c>
      <c r="C221" s="5">
        <v>303</v>
      </c>
      <c r="D221" s="19" t="s">
        <v>723</v>
      </c>
      <c r="E221" s="16"/>
    </row>
    <row r="222" spans="2:5" x14ac:dyDescent="0.25">
      <c r="B222" s="5">
        <v>990207</v>
      </c>
      <c r="C222" s="5">
        <v>30401</v>
      </c>
      <c r="D222" s="19" t="s">
        <v>724</v>
      </c>
      <c r="E222" s="16"/>
    </row>
    <row r="223" spans="2:5" x14ac:dyDescent="0.25">
      <c r="B223" s="5">
        <v>990207</v>
      </c>
      <c r="C223" s="5">
        <v>30402</v>
      </c>
      <c r="D223" s="19" t="s">
        <v>725</v>
      </c>
      <c r="E223" s="16"/>
    </row>
    <row r="224" spans="2:5" x14ac:dyDescent="0.25">
      <c r="B224" s="5">
        <v>990207</v>
      </c>
      <c r="C224" s="5">
        <v>30501</v>
      </c>
      <c r="D224" s="19" t="s">
        <v>726</v>
      </c>
      <c r="E224" s="16"/>
    </row>
    <row r="225" spans="2:5" x14ac:dyDescent="0.25">
      <c r="B225" s="5">
        <v>990207</v>
      </c>
      <c r="C225" s="5">
        <v>30502</v>
      </c>
      <c r="D225" s="19" t="s">
        <v>727</v>
      </c>
      <c r="E225" s="16"/>
    </row>
    <row r="226" spans="2:5" x14ac:dyDescent="0.25">
      <c r="B226" s="5">
        <v>990207</v>
      </c>
      <c r="C226" s="5">
        <v>30503</v>
      </c>
      <c r="D226" s="19" t="s">
        <v>728</v>
      </c>
      <c r="E226" s="16"/>
    </row>
    <row r="227" spans="2:5" x14ac:dyDescent="0.25">
      <c r="B227" s="5">
        <v>990207</v>
      </c>
      <c r="C227" s="5">
        <v>30504</v>
      </c>
      <c r="D227" s="19" t="s">
        <v>729</v>
      </c>
      <c r="E227" s="16"/>
    </row>
    <row r="228" spans="2:5" x14ac:dyDescent="0.25">
      <c r="B228" s="5">
        <v>990207</v>
      </c>
      <c r="C228" s="5">
        <v>30601</v>
      </c>
      <c r="D228" s="19" t="s">
        <v>730</v>
      </c>
      <c r="E228" s="16"/>
    </row>
    <row r="229" spans="2:5" x14ac:dyDescent="0.25">
      <c r="B229" s="5">
        <v>990207</v>
      </c>
      <c r="C229" s="5">
        <v>30602</v>
      </c>
      <c r="D229" s="19" t="s">
        <v>731</v>
      </c>
      <c r="E229" s="16"/>
    </row>
    <row r="230" spans="2:5" x14ac:dyDescent="0.25">
      <c r="B230" s="5">
        <v>990207</v>
      </c>
      <c r="C230" s="5">
        <v>30603</v>
      </c>
      <c r="D230" s="19" t="s">
        <v>732</v>
      </c>
      <c r="E230" s="16"/>
    </row>
    <row r="231" spans="2:5" x14ac:dyDescent="0.25">
      <c r="B231" s="5">
        <v>990207</v>
      </c>
      <c r="C231" s="5">
        <v>30604</v>
      </c>
      <c r="D231" s="19" t="s">
        <v>733</v>
      </c>
      <c r="E231" s="16"/>
    </row>
    <row r="232" spans="2:5" x14ac:dyDescent="0.25">
      <c r="B232" s="5">
        <v>990207</v>
      </c>
      <c r="C232" s="5">
        <v>30605</v>
      </c>
      <c r="D232" s="19" t="s">
        <v>734</v>
      </c>
      <c r="E232" s="16"/>
    </row>
    <row r="233" spans="2:5" x14ac:dyDescent="0.25">
      <c r="B233" s="5">
        <v>990207</v>
      </c>
      <c r="C233" s="5">
        <v>30606</v>
      </c>
      <c r="D233" s="19" t="s">
        <v>735</v>
      </c>
      <c r="E233" s="16"/>
    </row>
    <row r="234" spans="2:5" x14ac:dyDescent="0.25">
      <c r="B234" s="5">
        <v>990207</v>
      </c>
      <c r="C234" s="5">
        <v>30607</v>
      </c>
      <c r="D234" s="19" t="s">
        <v>736</v>
      </c>
      <c r="E234" s="16"/>
    </row>
    <row r="235" spans="2:5" x14ac:dyDescent="0.25">
      <c r="B235" s="5">
        <v>990207</v>
      </c>
      <c r="C235" s="5">
        <v>30701</v>
      </c>
      <c r="D235" s="19" t="s">
        <v>737</v>
      </c>
      <c r="E235" s="16"/>
    </row>
    <row r="236" spans="2:5" x14ac:dyDescent="0.25">
      <c r="B236" s="5">
        <v>990207</v>
      </c>
      <c r="C236" s="5">
        <v>30702</v>
      </c>
      <c r="D236" s="19" t="s">
        <v>738</v>
      </c>
      <c r="E236" s="16"/>
    </row>
    <row r="237" spans="2:5" x14ac:dyDescent="0.25">
      <c r="B237" s="5">
        <v>990208</v>
      </c>
      <c r="C237" s="5">
        <v>301</v>
      </c>
      <c r="D237" s="19" t="s">
        <v>739</v>
      </c>
      <c r="E237" s="16"/>
    </row>
    <row r="238" spans="2:5" x14ac:dyDescent="0.25">
      <c r="B238" s="5">
        <v>990208</v>
      </c>
      <c r="C238" s="5">
        <v>302</v>
      </c>
      <c r="D238" s="19" t="s">
        <v>740</v>
      </c>
      <c r="E238" s="16"/>
    </row>
    <row r="239" spans="2:5" x14ac:dyDescent="0.25">
      <c r="B239" s="5">
        <v>990208</v>
      </c>
      <c r="C239" s="5">
        <v>303</v>
      </c>
      <c r="D239" s="19" t="s">
        <v>741</v>
      </c>
      <c r="E239" s="16"/>
    </row>
    <row r="240" spans="2:5" x14ac:dyDescent="0.25">
      <c r="B240" s="5">
        <v>990208</v>
      </c>
      <c r="C240" s="5">
        <v>30401</v>
      </c>
      <c r="D240" s="19" t="s">
        <v>742</v>
      </c>
      <c r="E240" s="16"/>
    </row>
    <row r="241" spans="2:5" x14ac:dyDescent="0.25">
      <c r="B241" s="5">
        <v>990208</v>
      </c>
      <c r="C241" s="5">
        <v>30402</v>
      </c>
      <c r="D241" s="19" t="s">
        <v>743</v>
      </c>
      <c r="E241" s="16"/>
    </row>
    <row r="242" spans="2:5" x14ac:dyDescent="0.25">
      <c r="B242" s="5">
        <v>990208</v>
      </c>
      <c r="C242" s="5">
        <v>30501</v>
      </c>
      <c r="D242" s="19" t="s">
        <v>744</v>
      </c>
      <c r="E242" s="16"/>
    </row>
    <row r="243" spans="2:5" x14ac:dyDescent="0.25">
      <c r="B243" s="5">
        <v>990208</v>
      </c>
      <c r="C243" s="5">
        <v>30502</v>
      </c>
      <c r="D243" s="19" t="s">
        <v>745</v>
      </c>
      <c r="E243" s="16"/>
    </row>
    <row r="244" spans="2:5" x14ac:dyDescent="0.25">
      <c r="B244" s="5">
        <v>990208</v>
      </c>
      <c r="C244" s="5">
        <v>30503</v>
      </c>
      <c r="D244" s="19" t="s">
        <v>746</v>
      </c>
      <c r="E244" s="16"/>
    </row>
    <row r="245" spans="2:5" x14ac:dyDescent="0.25">
      <c r="B245" s="5">
        <v>990208</v>
      </c>
      <c r="C245" s="5">
        <v>30504</v>
      </c>
      <c r="D245" s="19" t="s">
        <v>747</v>
      </c>
      <c r="E245" s="16"/>
    </row>
    <row r="246" spans="2:5" x14ac:dyDescent="0.25">
      <c r="B246" s="5">
        <v>990208</v>
      </c>
      <c r="C246" s="5">
        <v>30601</v>
      </c>
      <c r="D246" s="19" t="s">
        <v>748</v>
      </c>
      <c r="E246" s="16"/>
    </row>
    <row r="247" spans="2:5" x14ac:dyDescent="0.25">
      <c r="B247" s="5">
        <v>990208</v>
      </c>
      <c r="C247" s="5">
        <v>30602</v>
      </c>
      <c r="D247" s="19" t="s">
        <v>749</v>
      </c>
      <c r="E247" s="16"/>
    </row>
    <row r="248" spans="2:5" x14ac:dyDescent="0.25">
      <c r="B248" s="5">
        <v>990208</v>
      </c>
      <c r="C248" s="5">
        <v>30603</v>
      </c>
      <c r="D248" s="19" t="s">
        <v>750</v>
      </c>
      <c r="E248" s="16"/>
    </row>
    <row r="249" spans="2:5" x14ac:dyDescent="0.25">
      <c r="B249" s="5">
        <v>990208</v>
      </c>
      <c r="C249" s="5">
        <v>30604</v>
      </c>
      <c r="D249" s="19" t="s">
        <v>751</v>
      </c>
      <c r="E249" s="16"/>
    </row>
    <row r="250" spans="2:5" x14ac:dyDescent="0.25">
      <c r="B250" s="5">
        <v>990208</v>
      </c>
      <c r="C250" s="5">
        <v>30605</v>
      </c>
      <c r="D250" s="19" t="s">
        <v>752</v>
      </c>
      <c r="E250" s="16"/>
    </row>
    <row r="251" spans="2:5" x14ac:dyDescent="0.25">
      <c r="B251" s="5">
        <v>990208</v>
      </c>
      <c r="C251" s="5">
        <v>30606</v>
      </c>
      <c r="D251" s="19" t="s">
        <v>753</v>
      </c>
      <c r="E251" s="16"/>
    </row>
    <row r="252" spans="2:5" x14ac:dyDescent="0.25">
      <c r="B252" s="5">
        <v>990208</v>
      </c>
      <c r="C252" s="5">
        <v>30607</v>
      </c>
      <c r="D252" s="19" t="s">
        <v>754</v>
      </c>
      <c r="E252" s="16"/>
    </row>
    <row r="253" spans="2:5" x14ac:dyDescent="0.25">
      <c r="B253" s="5">
        <v>990208</v>
      </c>
      <c r="C253" s="5">
        <v>30701</v>
      </c>
      <c r="D253" s="19" t="s">
        <v>755</v>
      </c>
      <c r="E253" s="16"/>
    </row>
    <row r="254" spans="2:5" x14ac:dyDescent="0.25">
      <c r="B254" s="5">
        <v>990208</v>
      </c>
      <c r="C254" s="5">
        <v>30702</v>
      </c>
      <c r="D254" s="19" t="s">
        <v>756</v>
      </c>
      <c r="E254" s="16"/>
    </row>
    <row r="255" spans="2:5" x14ac:dyDescent="0.25">
      <c r="B255" s="5">
        <v>990209</v>
      </c>
      <c r="C255" s="5">
        <v>301</v>
      </c>
      <c r="D255" s="19" t="s">
        <v>757</v>
      </c>
      <c r="E255" s="16"/>
    </row>
    <row r="256" spans="2:5" x14ac:dyDescent="0.25">
      <c r="B256" s="5">
        <v>990209</v>
      </c>
      <c r="C256" s="5">
        <v>302</v>
      </c>
      <c r="D256" s="19" t="s">
        <v>758</v>
      </c>
      <c r="E256" s="16"/>
    </row>
    <row r="257" spans="2:5" x14ac:dyDescent="0.25">
      <c r="B257" s="5">
        <v>990209</v>
      </c>
      <c r="C257" s="5">
        <v>303</v>
      </c>
      <c r="D257" s="19" t="s">
        <v>759</v>
      </c>
      <c r="E257" s="16"/>
    </row>
    <row r="258" spans="2:5" x14ac:dyDescent="0.25">
      <c r="B258" s="5">
        <v>990209</v>
      </c>
      <c r="C258" s="5">
        <v>30401</v>
      </c>
      <c r="D258" s="19" t="s">
        <v>760</v>
      </c>
      <c r="E258" s="16"/>
    </row>
    <row r="259" spans="2:5" x14ac:dyDescent="0.25">
      <c r="B259" s="5">
        <v>990209</v>
      </c>
      <c r="C259" s="5">
        <v>30402</v>
      </c>
      <c r="D259" s="19" t="s">
        <v>761</v>
      </c>
      <c r="E259" s="16"/>
    </row>
    <row r="260" spans="2:5" x14ac:dyDescent="0.25">
      <c r="B260" s="5">
        <v>990209</v>
      </c>
      <c r="C260" s="5">
        <v>30501</v>
      </c>
      <c r="D260" s="19" t="s">
        <v>762</v>
      </c>
      <c r="E260" s="16"/>
    </row>
    <row r="261" spans="2:5" x14ac:dyDescent="0.25">
      <c r="B261" s="5">
        <v>990209</v>
      </c>
      <c r="C261" s="5">
        <v>30502</v>
      </c>
      <c r="D261" s="19" t="s">
        <v>763</v>
      </c>
      <c r="E261" s="16"/>
    </row>
    <row r="262" spans="2:5" x14ac:dyDescent="0.25">
      <c r="B262" s="5">
        <v>990209</v>
      </c>
      <c r="C262" s="5">
        <v>30503</v>
      </c>
      <c r="D262" s="19" t="s">
        <v>764</v>
      </c>
      <c r="E262" s="16"/>
    </row>
    <row r="263" spans="2:5" x14ac:dyDescent="0.25">
      <c r="B263" s="5">
        <v>990209</v>
      </c>
      <c r="C263" s="5">
        <v>30504</v>
      </c>
      <c r="D263" s="19" t="s">
        <v>765</v>
      </c>
      <c r="E263" s="16"/>
    </row>
    <row r="264" spans="2:5" x14ac:dyDescent="0.25">
      <c r="B264" s="5">
        <v>990209</v>
      </c>
      <c r="C264" s="5">
        <v>30601</v>
      </c>
      <c r="D264" s="19" t="s">
        <v>766</v>
      </c>
      <c r="E264" s="16"/>
    </row>
    <row r="265" spans="2:5" x14ac:dyDescent="0.25">
      <c r="B265" s="5">
        <v>990209</v>
      </c>
      <c r="C265" s="5">
        <v>30602</v>
      </c>
      <c r="D265" s="19" t="s">
        <v>767</v>
      </c>
      <c r="E265" s="16"/>
    </row>
    <row r="266" spans="2:5" x14ac:dyDescent="0.25">
      <c r="B266" s="5">
        <v>990209</v>
      </c>
      <c r="C266" s="5">
        <v>30603</v>
      </c>
      <c r="D266" s="19" t="s">
        <v>768</v>
      </c>
      <c r="E266" s="16"/>
    </row>
    <row r="267" spans="2:5" x14ac:dyDescent="0.25">
      <c r="B267" s="5">
        <v>990209</v>
      </c>
      <c r="C267" s="5">
        <v>30604</v>
      </c>
      <c r="D267" s="19" t="s">
        <v>769</v>
      </c>
      <c r="E267" s="16"/>
    </row>
    <row r="268" spans="2:5" x14ac:dyDescent="0.25">
      <c r="B268" s="5">
        <v>990209</v>
      </c>
      <c r="C268" s="5">
        <v>30605</v>
      </c>
      <c r="D268" s="19" t="s">
        <v>770</v>
      </c>
      <c r="E268" s="16"/>
    </row>
    <row r="269" spans="2:5" x14ac:dyDescent="0.25">
      <c r="B269" s="5">
        <v>990209</v>
      </c>
      <c r="C269" s="5">
        <v>30606</v>
      </c>
      <c r="D269" s="19" t="s">
        <v>771</v>
      </c>
      <c r="E269" s="16"/>
    </row>
    <row r="270" spans="2:5" x14ac:dyDescent="0.25">
      <c r="B270" s="5">
        <v>990209</v>
      </c>
      <c r="C270" s="5">
        <v>30607</v>
      </c>
      <c r="D270" s="19" t="s">
        <v>772</v>
      </c>
      <c r="E270" s="16"/>
    </row>
    <row r="271" spans="2:5" x14ac:dyDescent="0.25">
      <c r="B271" s="5">
        <v>990209</v>
      </c>
      <c r="C271" s="5">
        <v>30701</v>
      </c>
      <c r="D271" s="19" t="s">
        <v>773</v>
      </c>
      <c r="E271" s="16"/>
    </row>
    <row r="272" spans="2:5" x14ac:dyDescent="0.25">
      <c r="B272" s="5">
        <v>990209</v>
      </c>
      <c r="C272" s="5">
        <v>30702</v>
      </c>
      <c r="D272" s="19" t="s">
        <v>774</v>
      </c>
      <c r="E272" s="16"/>
    </row>
    <row r="273" spans="2:5" x14ac:dyDescent="0.25">
      <c r="B273" s="5">
        <v>990210</v>
      </c>
      <c r="C273" s="5">
        <v>301</v>
      </c>
      <c r="D273" s="19" t="s">
        <v>775</v>
      </c>
      <c r="E273" s="16"/>
    </row>
    <row r="274" spans="2:5" x14ac:dyDescent="0.25">
      <c r="B274" s="5">
        <v>990210</v>
      </c>
      <c r="C274" s="5">
        <v>302</v>
      </c>
      <c r="D274" s="19" t="s">
        <v>776</v>
      </c>
      <c r="E274" s="16"/>
    </row>
    <row r="275" spans="2:5" x14ac:dyDescent="0.25">
      <c r="B275" s="5">
        <v>990210</v>
      </c>
      <c r="C275" s="5">
        <v>303</v>
      </c>
      <c r="D275" s="19" t="s">
        <v>777</v>
      </c>
      <c r="E275" s="16"/>
    </row>
    <row r="276" spans="2:5" x14ac:dyDescent="0.25">
      <c r="B276" s="5">
        <v>990210</v>
      </c>
      <c r="C276" s="5">
        <v>30401</v>
      </c>
      <c r="D276" s="19" t="s">
        <v>778</v>
      </c>
      <c r="E276" s="16"/>
    </row>
    <row r="277" spans="2:5" x14ac:dyDescent="0.25">
      <c r="B277" s="5">
        <v>990210</v>
      </c>
      <c r="C277" s="5">
        <v>30402</v>
      </c>
      <c r="D277" s="19" t="s">
        <v>779</v>
      </c>
      <c r="E277" s="16"/>
    </row>
    <row r="278" spans="2:5" x14ac:dyDescent="0.25">
      <c r="B278" s="5">
        <v>990210</v>
      </c>
      <c r="C278" s="5">
        <v>30501</v>
      </c>
      <c r="D278" s="19" t="s">
        <v>780</v>
      </c>
      <c r="E278" s="16"/>
    </row>
    <row r="279" spans="2:5" x14ac:dyDescent="0.25">
      <c r="B279" s="5">
        <v>990210</v>
      </c>
      <c r="C279" s="5">
        <v>30502</v>
      </c>
      <c r="D279" s="19" t="s">
        <v>781</v>
      </c>
      <c r="E279" s="16"/>
    </row>
    <row r="280" spans="2:5" x14ac:dyDescent="0.25">
      <c r="B280" s="5">
        <v>990210</v>
      </c>
      <c r="C280" s="5">
        <v>30503</v>
      </c>
      <c r="D280" s="19" t="s">
        <v>782</v>
      </c>
      <c r="E280" s="16"/>
    </row>
    <row r="281" spans="2:5" x14ac:dyDescent="0.25">
      <c r="B281" s="5">
        <v>990210</v>
      </c>
      <c r="C281" s="5">
        <v>30504</v>
      </c>
      <c r="D281" s="19" t="s">
        <v>783</v>
      </c>
      <c r="E281" s="16"/>
    </row>
    <row r="282" spans="2:5" x14ac:dyDescent="0.25">
      <c r="B282" s="5">
        <v>990210</v>
      </c>
      <c r="C282" s="5">
        <v>30601</v>
      </c>
      <c r="D282" s="19" t="s">
        <v>784</v>
      </c>
      <c r="E282" s="16"/>
    </row>
    <row r="283" spans="2:5" x14ac:dyDescent="0.25">
      <c r="B283" s="5">
        <v>990210</v>
      </c>
      <c r="C283" s="5">
        <v>30602</v>
      </c>
      <c r="D283" s="19" t="s">
        <v>785</v>
      </c>
      <c r="E283" s="16"/>
    </row>
    <row r="284" spans="2:5" x14ac:dyDescent="0.25">
      <c r="B284" s="5">
        <v>990210</v>
      </c>
      <c r="C284" s="5">
        <v>30603</v>
      </c>
      <c r="D284" s="19" t="s">
        <v>786</v>
      </c>
      <c r="E284" s="16"/>
    </row>
    <row r="285" spans="2:5" x14ac:dyDescent="0.25">
      <c r="B285" s="5">
        <v>990210</v>
      </c>
      <c r="C285" s="5">
        <v>30604</v>
      </c>
      <c r="D285" s="19" t="s">
        <v>787</v>
      </c>
      <c r="E285" s="16"/>
    </row>
    <row r="286" spans="2:5" x14ac:dyDescent="0.25">
      <c r="B286" s="5">
        <v>990210</v>
      </c>
      <c r="C286" s="5">
        <v>30605</v>
      </c>
      <c r="D286" s="19" t="s">
        <v>788</v>
      </c>
      <c r="E286" s="16"/>
    </row>
    <row r="287" spans="2:5" x14ac:dyDescent="0.25">
      <c r="B287" s="5">
        <v>990210</v>
      </c>
      <c r="C287" s="5">
        <v>30606</v>
      </c>
      <c r="D287" s="19" t="s">
        <v>789</v>
      </c>
      <c r="E287" s="16"/>
    </row>
    <row r="288" spans="2:5" x14ac:dyDescent="0.25">
      <c r="B288" s="5">
        <v>990210</v>
      </c>
      <c r="C288" s="5">
        <v>30607</v>
      </c>
      <c r="D288" s="19" t="s">
        <v>790</v>
      </c>
      <c r="E288" s="16"/>
    </row>
    <row r="289" spans="2:5" x14ac:dyDescent="0.25">
      <c r="B289" s="5">
        <v>990210</v>
      </c>
      <c r="C289" s="5">
        <v>30701</v>
      </c>
      <c r="D289" s="19" t="s">
        <v>791</v>
      </c>
      <c r="E289" s="16"/>
    </row>
    <row r="290" spans="2:5" x14ac:dyDescent="0.25">
      <c r="B290" s="5">
        <v>990210</v>
      </c>
      <c r="C290" s="5">
        <v>30702</v>
      </c>
      <c r="D290" s="19" t="s">
        <v>792</v>
      </c>
      <c r="E290" s="16"/>
    </row>
    <row r="291" spans="2:5" x14ac:dyDescent="0.25">
      <c r="B291" s="5">
        <v>99</v>
      </c>
      <c r="C291" s="5">
        <v>30</v>
      </c>
      <c r="D291" s="19" t="s">
        <v>485</v>
      </c>
      <c r="E291" s="16">
        <f>+ESF!D376</f>
        <v>0</v>
      </c>
    </row>
    <row r="292" spans="2:5" x14ac:dyDescent="0.25">
      <c r="B292" s="5">
        <v>99</v>
      </c>
      <c r="C292" s="5">
        <v>31</v>
      </c>
      <c r="D292" s="19" t="s">
        <v>485</v>
      </c>
      <c r="E292" s="16">
        <f>+E291</f>
        <v>0</v>
      </c>
    </row>
    <row r="293" spans="2:5" x14ac:dyDescent="0.25">
      <c r="B293" s="5">
        <v>9901</v>
      </c>
      <c r="C293" s="5">
        <v>30</v>
      </c>
      <c r="D293" s="19" t="s">
        <v>486</v>
      </c>
      <c r="E293" s="16"/>
    </row>
    <row r="294" spans="2:5" x14ac:dyDescent="0.25">
      <c r="B294" s="5">
        <v>9901</v>
      </c>
      <c r="C294" s="5">
        <v>31</v>
      </c>
      <c r="D294" s="19" t="s">
        <v>486</v>
      </c>
      <c r="E294" s="16"/>
    </row>
    <row r="295" spans="2:5" x14ac:dyDescent="0.25">
      <c r="B295" s="5">
        <v>9902</v>
      </c>
      <c r="C295" s="5">
        <v>30</v>
      </c>
      <c r="D295" s="19" t="s">
        <v>487</v>
      </c>
      <c r="E295" s="16"/>
    </row>
    <row r="296" spans="2:5" x14ac:dyDescent="0.25">
      <c r="B296" s="5">
        <v>9902</v>
      </c>
      <c r="C296" s="5">
        <v>31</v>
      </c>
      <c r="D296" s="19" t="s">
        <v>487</v>
      </c>
      <c r="E296" s="16"/>
    </row>
    <row r="297" spans="2:5" x14ac:dyDescent="0.25">
      <c r="B297" s="5">
        <v>990101</v>
      </c>
      <c r="C297" s="5">
        <v>30</v>
      </c>
      <c r="D297" s="19" t="s">
        <v>488</v>
      </c>
      <c r="E297" s="16"/>
    </row>
    <row r="298" spans="2:5" x14ac:dyDescent="0.25">
      <c r="B298" s="5">
        <v>990101</v>
      </c>
      <c r="C298" s="5">
        <v>31</v>
      </c>
      <c r="D298" s="19" t="s">
        <v>488</v>
      </c>
      <c r="E298" s="16"/>
    </row>
    <row r="299" spans="2:5" x14ac:dyDescent="0.25">
      <c r="B299" s="5">
        <v>990102</v>
      </c>
      <c r="C299" s="5">
        <v>30</v>
      </c>
      <c r="D299" s="19" t="s">
        <v>489</v>
      </c>
      <c r="E299" s="16"/>
    </row>
    <row r="300" spans="2:5" x14ac:dyDescent="0.25">
      <c r="B300" s="5">
        <v>990102</v>
      </c>
      <c r="C300" s="5">
        <v>31</v>
      </c>
      <c r="D300" s="19" t="s">
        <v>489</v>
      </c>
      <c r="E300" s="16"/>
    </row>
    <row r="301" spans="2:5" x14ac:dyDescent="0.25">
      <c r="B301" s="5">
        <v>990103</v>
      </c>
      <c r="C301" s="5">
        <v>30</v>
      </c>
      <c r="D301" s="19" t="s">
        <v>490</v>
      </c>
      <c r="E301" s="16"/>
    </row>
    <row r="302" spans="2:5" x14ac:dyDescent="0.25">
      <c r="B302" s="5">
        <v>990103</v>
      </c>
      <c r="C302" s="5">
        <v>31</v>
      </c>
      <c r="D302" s="19" t="s">
        <v>490</v>
      </c>
      <c r="E302" s="16"/>
    </row>
    <row r="303" spans="2:5" x14ac:dyDescent="0.25">
      <c r="B303" s="5">
        <v>990201</v>
      </c>
      <c r="C303" s="5">
        <v>30</v>
      </c>
      <c r="D303" s="19" t="s">
        <v>491</v>
      </c>
      <c r="E303" s="16"/>
    </row>
    <row r="304" spans="2:5" x14ac:dyDescent="0.25">
      <c r="B304" s="5">
        <v>990201</v>
      </c>
      <c r="C304" s="5">
        <v>31</v>
      </c>
      <c r="D304" s="19" t="s">
        <v>491</v>
      </c>
      <c r="E304" s="16"/>
    </row>
    <row r="305" spans="2:5" x14ac:dyDescent="0.25">
      <c r="B305" s="5">
        <v>990202</v>
      </c>
      <c r="C305" s="5">
        <v>30</v>
      </c>
      <c r="D305" s="19" t="s">
        <v>492</v>
      </c>
      <c r="E305" s="16"/>
    </row>
    <row r="306" spans="2:5" x14ac:dyDescent="0.25">
      <c r="B306" s="5">
        <v>990202</v>
      </c>
      <c r="C306" s="5">
        <v>31</v>
      </c>
      <c r="D306" s="19" t="s">
        <v>492</v>
      </c>
      <c r="E306" s="16"/>
    </row>
    <row r="307" spans="2:5" x14ac:dyDescent="0.25">
      <c r="B307" s="5">
        <v>990203</v>
      </c>
      <c r="C307" s="5">
        <v>30</v>
      </c>
      <c r="D307" s="19" t="s">
        <v>493</v>
      </c>
      <c r="E307" s="16"/>
    </row>
    <row r="308" spans="2:5" x14ac:dyDescent="0.25">
      <c r="B308" s="5">
        <v>990203</v>
      </c>
      <c r="C308" s="5">
        <v>31</v>
      </c>
      <c r="D308" s="19" t="s">
        <v>493</v>
      </c>
      <c r="E308" s="16"/>
    </row>
    <row r="309" spans="2:5" x14ac:dyDescent="0.25">
      <c r="B309" s="5">
        <v>990204</v>
      </c>
      <c r="C309" s="5">
        <v>30</v>
      </c>
      <c r="D309" s="19" t="s">
        <v>494</v>
      </c>
      <c r="E309" s="16"/>
    </row>
    <row r="310" spans="2:5" x14ac:dyDescent="0.25">
      <c r="B310" s="5">
        <v>990204</v>
      </c>
      <c r="C310" s="5">
        <v>31</v>
      </c>
      <c r="D310" s="19" t="s">
        <v>494</v>
      </c>
      <c r="E310" s="16"/>
    </row>
    <row r="311" spans="2:5" x14ac:dyDescent="0.25">
      <c r="B311" s="5">
        <v>990205</v>
      </c>
      <c r="C311" s="5">
        <v>30</v>
      </c>
      <c r="D311" s="19" t="s">
        <v>495</v>
      </c>
      <c r="E311" s="16"/>
    </row>
    <row r="312" spans="2:5" x14ac:dyDescent="0.25">
      <c r="B312" s="5">
        <v>990205</v>
      </c>
      <c r="C312" s="5">
        <v>31</v>
      </c>
      <c r="D312" s="19" t="s">
        <v>495</v>
      </c>
      <c r="E312" s="16"/>
    </row>
    <row r="313" spans="2:5" x14ac:dyDescent="0.25">
      <c r="B313" s="5">
        <v>990206</v>
      </c>
      <c r="C313" s="5">
        <v>30</v>
      </c>
      <c r="D313" s="19" t="s">
        <v>496</v>
      </c>
      <c r="E313" s="16"/>
    </row>
    <row r="314" spans="2:5" x14ac:dyDescent="0.25">
      <c r="B314" s="5">
        <v>990206</v>
      </c>
      <c r="C314" s="5">
        <v>31</v>
      </c>
      <c r="D314" s="19" t="s">
        <v>496</v>
      </c>
      <c r="E314" s="16"/>
    </row>
    <row r="315" spans="2:5" x14ac:dyDescent="0.25">
      <c r="B315" s="5">
        <v>990207</v>
      </c>
      <c r="C315" s="5">
        <v>30</v>
      </c>
      <c r="D315" s="19" t="s">
        <v>497</v>
      </c>
      <c r="E315" s="16"/>
    </row>
    <row r="316" spans="2:5" x14ac:dyDescent="0.25">
      <c r="B316" s="5">
        <v>990207</v>
      </c>
      <c r="C316" s="5">
        <v>31</v>
      </c>
      <c r="D316" s="19" t="s">
        <v>497</v>
      </c>
      <c r="E316" s="16"/>
    </row>
    <row r="317" spans="2:5" x14ac:dyDescent="0.25">
      <c r="B317" s="5">
        <v>990208</v>
      </c>
      <c r="C317" s="5">
        <v>30</v>
      </c>
      <c r="D317" s="19" t="s">
        <v>498</v>
      </c>
      <c r="E317" s="16"/>
    </row>
    <row r="318" spans="2:5" x14ac:dyDescent="0.25">
      <c r="B318" s="5">
        <v>990208</v>
      </c>
      <c r="C318" s="5">
        <v>31</v>
      </c>
      <c r="D318" s="19" t="s">
        <v>498</v>
      </c>
      <c r="E318" s="16"/>
    </row>
    <row r="319" spans="2:5" x14ac:dyDescent="0.25">
      <c r="B319" s="5">
        <v>990209</v>
      </c>
      <c r="C319" s="5">
        <v>30</v>
      </c>
      <c r="D319" s="19" t="s">
        <v>499</v>
      </c>
      <c r="E319" s="16"/>
    </row>
    <row r="320" spans="2:5" x14ac:dyDescent="0.25">
      <c r="B320" s="5">
        <v>990209</v>
      </c>
      <c r="C320" s="5">
        <v>31</v>
      </c>
      <c r="D320" s="19" t="s">
        <v>499</v>
      </c>
      <c r="E320" s="16"/>
    </row>
    <row r="321" spans="2:5" x14ac:dyDescent="0.25">
      <c r="B321" s="5">
        <v>990210</v>
      </c>
      <c r="C321" s="5">
        <v>30</v>
      </c>
      <c r="D321" s="19" t="s">
        <v>500</v>
      </c>
      <c r="E321" s="16">
        <f>+ESF!D376</f>
        <v>0</v>
      </c>
    </row>
    <row r="322" spans="2:5" x14ac:dyDescent="0.25">
      <c r="B322" s="5">
        <v>990210</v>
      </c>
      <c r="C322" s="5">
        <v>31</v>
      </c>
      <c r="D322" s="19" t="s">
        <v>500</v>
      </c>
      <c r="E322" s="16">
        <f>+E321</f>
        <v>0</v>
      </c>
    </row>
    <row r="323" spans="2:5" x14ac:dyDescent="0.25">
      <c r="E323" s="3"/>
    </row>
    <row r="324" spans="2:5" x14ac:dyDescent="0.25">
      <c r="E324" s="3"/>
    </row>
    <row r="325" spans="2:5" x14ac:dyDescent="0.25">
      <c r="E325" s="3"/>
    </row>
    <row r="326" spans="2:5" x14ac:dyDescent="0.25">
      <c r="E326" s="3"/>
    </row>
    <row r="327" spans="2:5" x14ac:dyDescent="0.25">
      <c r="E327" s="3"/>
    </row>
    <row r="328" spans="2:5" x14ac:dyDescent="0.25">
      <c r="E328" s="3"/>
    </row>
    <row r="329" spans="2:5" x14ac:dyDescent="0.25">
      <c r="E329" s="3"/>
    </row>
    <row r="330" spans="2:5" x14ac:dyDescent="0.25">
      <c r="E330" s="3"/>
    </row>
    <row r="331" spans="2:5" x14ac:dyDescent="0.25">
      <c r="E331" s="3"/>
    </row>
    <row r="332" spans="2:5" x14ac:dyDescent="0.25">
      <c r="E332" s="3"/>
    </row>
    <row r="333" spans="2:5" x14ac:dyDescent="0.25">
      <c r="E333" s="3"/>
    </row>
    <row r="334" spans="2:5" x14ac:dyDescent="0.25">
      <c r="E334" s="3"/>
    </row>
    <row r="335" spans="2:5" x14ac:dyDescent="0.25">
      <c r="E335" s="3"/>
    </row>
    <row r="336" spans="2:5" x14ac:dyDescent="0.25">
      <c r="E336" s="3"/>
    </row>
    <row r="337" spans="5:5" x14ac:dyDescent="0.25">
      <c r="E337" s="3"/>
    </row>
    <row r="338" spans="5:5" x14ac:dyDescent="0.25">
      <c r="E338" s="3"/>
    </row>
    <row r="339" spans="5:5" x14ac:dyDescent="0.25">
      <c r="E339" s="3"/>
    </row>
    <row r="340" spans="5:5" x14ac:dyDescent="0.25">
      <c r="E340" s="3"/>
    </row>
    <row r="341" spans="5:5" x14ac:dyDescent="0.25">
      <c r="E341" s="3"/>
    </row>
    <row r="342" spans="5:5" x14ac:dyDescent="0.25">
      <c r="E342" s="3"/>
    </row>
    <row r="343" spans="5:5" x14ac:dyDescent="0.25">
      <c r="E343" s="3"/>
    </row>
    <row r="344" spans="5:5" x14ac:dyDescent="0.25">
      <c r="E344" s="3"/>
    </row>
    <row r="345" spans="5:5" x14ac:dyDescent="0.25">
      <c r="E345" s="3"/>
    </row>
    <row r="346" spans="5:5" x14ac:dyDescent="0.25">
      <c r="E346" s="3"/>
    </row>
    <row r="347" spans="5:5" x14ac:dyDescent="0.25">
      <c r="E347" s="3"/>
    </row>
    <row r="348" spans="5:5" x14ac:dyDescent="0.25">
      <c r="E348" s="3"/>
    </row>
    <row r="349" spans="5:5" x14ac:dyDescent="0.25">
      <c r="E349" s="3"/>
    </row>
    <row r="350" spans="5:5" x14ac:dyDescent="0.25">
      <c r="E350" s="3"/>
    </row>
    <row r="351" spans="5:5" x14ac:dyDescent="0.25">
      <c r="E351" s="3"/>
    </row>
    <row r="352" spans="5:5" x14ac:dyDescent="0.25">
      <c r="E352" s="3"/>
    </row>
    <row r="353" spans="5:5" x14ac:dyDescent="0.25">
      <c r="E353" s="3"/>
    </row>
    <row r="354" spans="5:5" x14ac:dyDescent="0.25">
      <c r="E354" s="3"/>
    </row>
    <row r="355" spans="5:5" x14ac:dyDescent="0.25">
      <c r="E355" s="3"/>
    </row>
    <row r="356" spans="5:5" x14ac:dyDescent="0.25">
      <c r="E356" s="3"/>
    </row>
    <row r="357" spans="5:5" x14ac:dyDescent="0.25">
      <c r="E357" s="3"/>
    </row>
    <row r="358" spans="5:5" x14ac:dyDescent="0.25">
      <c r="E358" s="3"/>
    </row>
    <row r="359" spans="5:5" x14ac:dyDescent="0.25">
      <c r="E359" s="3"/>
    </row>
    <row r="360" spans="5:5" x14ac:dyDescent="0.25">
      <c r="E360" s="3"/>
    </row>
    <row r="361" spans="5:5" x14ac:dyDescent="0.25">
      <c r="E361" s="3"/>
    </row>
    <row r="362" spans="5:5" x14ac:dyDescent="0.25">
      <c r="E362" s="3"/>
    </row>
    <row r="363" spans="5:5" x14ac:dyDescent="0.25">
      <c r="E363" s="3"/>
    </row>
    <row r="364" spans="5:5" x14ac:dyDescent="0.25">
      <c r="E364" s="3"/>
    </row>
    <row r="365" spans="5:5" x14ac:dyDescent="0.25">
      <c r="E365" s="3"/>
    </row>
    <row r="366" spans="5:5" x14ac:dyDescent="0.25">
      <c r="E366" s="3"/>
    </row>
    <row r="367" spans="5:5" x14ac:dyDescent="0.25">
      <c r="E367" s="3"/>
    </row>
    <row r="368" spans="5:5" x14ac:dyDescent="0.25">
      <c r="E368" s="3"/>
    </row>
    <row r="369" spans="5:5" x14ac:dyDescent="0.25">
      <c r="E369" s="3"/>
    </row>
    <row r="370" spans="5:5" x14ac:dyDescent="0.25">
      <c r="E370" s="3"/>
    </row>
    <row r="371" spans="5:5" x14ac:dyDescent="0.25">
      <c r="E371" s="3"/>
    </row>
    <row r="372" spans="5:5" x14ac:dyDescent="0.25">
      <c r="E372" s="3"/>
    </row>
    <row r="373" spans="5:5" x14ac:dyDescent="0.25">
      <c r="E373" s="3"/>
    </row>
    <row r="374" spans="5:5" x14ac:dyDescent="0.25">
      <c r="E374" s="3"/>
    </row>
    <row r="375" spans="5:5" x14ac:dyDescent="0.25">
      <c r="E375" s="3"/>
    </row>
    <row r="376" spans="5:5" x14ac:dyDescent="0.25">
      <c r="E376" s="3"/>
    </row>
    <row r="377" spans="5:5" x14ac:dyDescent="0.25">
      <c r="E377" s="3"/>
    </row>
    <row r="378" spans="5:5" x14ac:dyDescent="0.25">
      <c r="E378" s="3"/>
    </row>
    <row r="379" spans="5:5" x14ac:dyDescent="0.25">
      <c r="E379" s="3"/>
    </row>
    <row r="380" spans="5:5" x14ac:dyDescent="0.25">
      <c r="E380" s="3"/>
    </row>
    <row r="381" spans="5:5" x14ac:dyDescent="0.25">
      <c r="E381" s="3"/>
    </row>
    <row r="382" spans="5:5" x14ac:dyDescent="0.25">
      <c r="E382" s="3"/>
    </row>
    <row r="383" spans="5:5" x14ac:dyDescent="0.25">
      <c r="E383" s="3"/>
    </row>
    <row r="384" spans="5:5" x14ac:dyDescent="0.25">
      <c r="E384" s="3"/>
    </row>
    <row r="385" spans="5:5" x14ac:dyDescent="0.25">
      <c r="E385" s="3"/>
    </row>
    <row r="386" spans="5:5" x14ac:dyDescent="0.25">
      <c r="E386" s="3"/>
    </row>
    <row r="387" spans="5:5" x14ac:dyDescent="0.25">
      <c r="E387" s="3"/>
    </row>
    <row r="388" spans="5:5" x14ac:dyDescent="0.25">
      <c r="E388" s="3"/>
    </row>
    <row r="389" spans="5:5" x14ac:dyDescent="0.25">
      <c r="E389" s="3"/>
    </row>
    <row r="390" spans="5:5" x14ac:dyDescent="0.25">
      <c r="E390" s="3"/>
    </row>
    <row r="391" spans="5:5" x14ac:dyDescent="0.25">
      <c r="E391" s="3"/>
    </row>
    <row r="392" spans="5:5" x14ac:dyDescent="0.25">
      <c r="E392" s="3"/>
    </row>
    <row r="393" spans="5:5" x14ac:dyDescent="0.25">
      <c r="E393" s="3"/>
    </row>
    <row r="394" spans="5:5" x14ac:dyDescent="0.25">
      <c r="E394" s="3"/>
    </row>
    <row r="395" spans="5:5" x14ac:dyDescent="0.25">
      <c r="E395" s="3"/>
    </row>
    <row r="396" spans="5:5" x14ac:dyDescent="0.25">
      <c r="E396" s="3"/>
    </row>
    <row r="397" spans="5:5" x14ac:dyDescent="0.25">
      <c r="E397" s="3"/>
    </row>
    <row r="398" spans="5:5" x14ac:dyDescent="0.25">
      <c r="E398" s="3"/>
    </row>
    <row r="399" spans="5:5" x14ac:dyDescent="0.25">
      <c r="E399" s="3"/>
    </row>
    <row r="400" spans="5:5" x14ac:dyDescent="0.25">
      <c r="E400" s="3"/>
    </row>
    <row r="401" spans="5:5" x14ac:dyDescent="0.25">
      <c r="E401" s="3"/>
    </row>
    <row r="402" spans="5:5" x14ac:dyDescent="0.25">
      <c r="E402" s="3"/>
    </row>
    <row r="403" spans="5:5" x14ac:dyDescent="0.25">
      <c r="E403" s="3"/>
    </row>
    <row r="404" spans="5:5" x14ac:dyDescent="0.25">
      <c r="E404" s="3"/>
    </row>
    <row r="405" spans="5:5" x14ac:dyDescent="0.25">
      <c r="E405" s="3"/>
    </row>
    <row r="406" spans="5:5" x14ac:dyDescent="0.25">
      <c r="E406" s="3"/>
    </row>
    <row r="407" spans="5:5" x14ac:dyDescent="0.25">
      <c r="E407" s="3"/>
    </row>
    <row r="408" spans="5:5" x14ac:dyDescent="0.25">
      <c r="E408" s="3"/>
    </row>
    <row r="409" spans="5:5" x14ac:dyDescent="0.25">
      <c r="E409" s="3"/>
    </row>
    <row r="410" spans="5:5" x14ac:dyDescent="0.25">
      <c r="E410" s="3"/>
    </row>
    <row r="411" spans="5:5" x14ac:dyDescent="0.25">
      <c r="E411" s="3"/>
    </row>
    <row r="412" spans="5:5" x14ac:dyDescent="0.25">
      <c r="E412" s="3"/>
    </row>
    <row r="413" spans="5:5" x14ac:dyDescent="0.25">
      <c r="E413" s="3"/>
    </row>
    <row r="414" spans="5:5" x14ac:dyDescent="0.25">
      <c r="E414" s="3"/>
    </row>
    <row r="415" spans="5:5" x14ac:dyDescent="0.25">
      <c r="E415" s="3"/>
    </row>
    <row r="416" spans="5:5" x14ac:dyDescent="0.25">
      <c r="E416" s="3"/>
    </row>
    <row r="417" spans="5:5" x14ac:dyDescent="0.25">
      <c r="E417" s="3"/>
    </row>
    <row r="418" spans="5:5" x14ac:dyDescent="0.25">
      <c r="E418" s="3"/>
    </row>
    <row r="419" spans="5:5" x14ac:dyDescent="0.25">
      <c r="E419" s="3"/>
    </row>
    <row r="420" spans="5:5" x14ac:dyDescent="0.25">
      <c r="E420" s="3"/>
    </row>
    <row r="421" spans="5:5" x14ac:dyDescent="0.25">
      <c r="E421" s="3"/>
    </row>
    <row r="422" spans="5:5" x14ac:dyDescent="0.25">
      <c r="E422" s="3"/>
    </row>
    <row r="423" spans="5:5" x14ac:dyDescent="0.25">
      <c r="E423" s="3"/>
    </row>
    <row r="424" spans="5:5" x14ac:dyDescent="0.25">
      <c r="E424" s="3"/>
    </row>
    <row r="425" spans="5:5" x14ac:dyDescent="0.25">
      <c r="E425" s="3"/>
    </row>
    <row r="426" spans="5:5" x14ac:dyDescent="0.25">
      <c r="E426" s="3"/>
    </row>
    <row r="427" spans="5:5" x14ac:dyDescent="0.25">
      <c r="E427" s="3"/>
    </row>
    <row r="428" spans="5:5" x14ac:dyDescent="0.25">
      <c r="E428" s="3"/>
    </row>
    <row r="429" spans="5:5" x14ac:dyDescent="0.25">
      <c r="E429" s="3"/>
    </row>
    <row r="430" spans="5:5" x14ac:dyDescent="0.25">
      <c r="E430" s="3"/>
    </row>
    <row r="431" spans="5:5" x14ac:dyDescent="0.25">
      <c r="E431" s="3"/>
    </row>
    <row r="432" spans="5:5" x14ac:dyDescent="0.25">
      <c r="E432" s="3"/>
    </row>
    <row r="433" spans="5:5" x14ac:dyDescent="0.25">
      <c r="E433" s="3"/>
    </row>
    <row r="434" spans="5:5" x14ac:dyDescent="0.25">
      <c r="E434" s="3"/>
    </row>
    <row r="435" spans="5:5" x14ac:dyDescent="0.25">
      <c r="E435" s="3"/>
    </row>
    <row r="436" spans="5:5" x14ac:dyDescent="0.25">
      <c r="E436" s="3"/>
    </row>
    <row r="437" spans="5:5" x14ac:dyDescent="0.25">
      <c r="E437" s="3"/>
    </row>
    <row r="438" spans="5:5" x14ac:dyDescent="0.25">
      <c r="E438" s="3"/>
    </row>
    <row r="439" spans="5:5" x14ac:dyDescent="0.25">
      <c r="E439" s="3"/>
    </row>
    <row r="440" spans="5:5" x14ac:dyDescent="0.25">
      <c r="E440" s="3"/>
    </row>
    <row r="441" spans="5:5" x14ac:dyDescent="0.25">
      <c r="E441" s="3"/>
    </row>
    <row r="442" spans="5:5" x14ac:dyDescent="0.25">
      <c r="E442" s="3"/>
    </row>
    <row r="443" spans="5:5" x14ac:dyDescent="0.25">
      <c r="E443" s="3"/>
    </row>
    <row r="444" spans="5:5" x14ac:dyDescent="0.25">
      <c r="E444" s="3"/>
    </row>
    <row r="445" spans="5:5" x14ac:dyDescent="0.25">
      <c r="E445" s="3"/>
    </row>
    <row r="446" spans="5:5" x14ac:dyDescent="0.25">
      <c r="E446" s="3"/>
    </row>
    <row r="447" spans="5:5" x14ac:dyDescent="0.25">
      <c r="E447" s="3"/>
    </row>
    <row r="448" spans="5:5" x14ac:dyDescent="0.25">
      <c r="E448" s="3"/>
    </row>
    <row r="449" spans="5:5" x14ac:dyDescent="0.25">
      <c r="E449" s="3"/>
    </row>
    <row r="450" spans="5:5" x14ac:dyDescent="0.25">
      <c r="E450" s="3"/>
    </row>
    <row r="451" spans="5:5" x14ac:dyDescent="0.25">
      <c r="E451" s="3"/>
    </row>
    <row r="452" spans="5:5" x14ac:dyDescent="0.25">
      <c r="E452" s="3"/>
    </row>
    <row r="453" spans="5:5" x14ac:dyDescent="0.25">
      <c r="E453" s="3"/>
    </row>
    <row r="454" spans="5:5" x14ac:dyDescent="0.25">
      <c r="E454" s="3"/>
    </row>
    <row r="455" spans="5:5" x14ac:dyDescent="0.25">
      <c r="E455" s="3"/>
    </row>
    <row r="456" spans="5:5" x14ac:dyDescent="0.25">
      <c r="E456" s="3"/>
    </row>
    <row r="457" spans="5:5" x14ac:dyDescent="0.25">
      <c r="E457" s="3"/>
    </row>
    <row r="458" spans="5:5" x14ac:dyDescent="0.25">
      <c r="E458" s="3"/>
    </row>
    <row r="459" spans="5:5" x14ac:dyDescent="0.25">
      <c r="E459" s="3"/>
    </row>
    <row r="460" spans="5:5" x14ac:dyDescent="0.25">
      <c r="E460" s="3"/>
    </row>
    <row r="461" spans="5:5" x14ac:dyDescent="0.25">
      <c r="E461" s="3"/>
    </row>
    <row r="462" spans="5:5" x14ac:dyDescent="0.25">
      <c r="E462" s="3"/>
    </row>
    <row r="463" spans="5:5" x14ac:dyDescent="0.25">
      <c r="E463" s="3"/>
    </row>
    <row r="464" spans="5:5" x14ac:dyDescent="0.25">
      <c r="E464" s="3"/>
    </row>
    <row r="465" spans="5:5" x14ac:dyDescent="0.25">
      <c r="E465" s="3"/>
    </row>
    <row r="466" spans="5:5" x14ac:dyDescent="0.25">
      <c r="E466" s="3"/>
    </row>
    <row r="467" spans="5:5" x14ac:dyDescent="0.25">
      <c r="E467" s="3"/>
    </row>
    <row r="468" spans="5:5" x14ac:dyDescent="0.25">
      <c r="E468" s="3"/>
    </row>
    <row r="469" spans="5:5" x14ac:dyDescent="0.25">
      <c r="E469" s="3"/>
    </row>
    <row r="470" spans="5:5" x14ac:dyDescent="0.25">
      <c r="E470" s="3"/>
    </row>
    <row r="471" spans="5:5" x14ac:dyDescent="0.25">
      <c r="E471" s="3"/>
    </row>
    <row r="472" spans="5:5" x14ac:dyDescent="0.25">
      <c r="E472" s="3"/>
    </row>
    <row r="473" spans="5:5" x14ac:dyDescent="0.25">
      <c r="E473" s="3"/>
    </row>
    <row r="474" spans="5:5" x14ac:dyDescent="0.25">
      <c r="E474" s="3"/>
    </row>
    <row r="475" spans="5:5" x14ac:dyDescent="0.25">
      <c r="E475" s="3"/>
    </row>
    <row r="476" spans="5:5" x14ac:dyDescent="0.25">
      <c r="E476" s="3"/>
    </row>
    <row r="477" spans="5:5" x14ac:dyDescent="0.25">
      <c r="E477" s="3"/>
    </row>
    <row r="478" spans="5:5" x14ac:dyDescent="0.25">
      <c r="E478" s="3"/>
    </row>
    <row r="479" spans="5:5" x14ac:dyDescent="0.25">
      <c r="E479" s="3"/>
    </row>
    <row r="480" spans="5:5" x14ac:dyDescent="0.25">
      <c r="E480" s="3"/>
    </row>
    <row r="481" spans="5:5" x14ac:dyDescent="0.25">
      <c r="E481" s="3"/>
    </row>
    <row r="482" spans="5:5" x14ac:dyDescent="0.25">
      <c r="E482" s="3"/>
    </row>
    <row r="483" spans="5:5" x14ac:dyDescent="0.25">
      <c r="E483" s="3"/>
    </row>
    <row r="484" spans="5:5" x14ac:dyDescent="0.25">
      <c r="E484" s="3"/>
    </row>
    <row r="485" spans="5:5" x14ac:dyDescent="0.25">
      <c r="E485" s="3"/>
    </row>
    <row r="486" spans="5:5" x14ac:dyDescent="0.25">
      <c r="E486" s="3"/>
    </row>
    <row r="487" spans="5:5" x14ac:dyDescent="0.25">
      <c r="E487" s="3"/>
    </row>
    <row r="488" spans="5:5" x14ac:dyDescent="0.25">
      <c r="E488" s="3"/>
    </row>
    <row r="489" spans="5:5" x14ac:dyDescent="0.25">
      <c r="E489" s="3"/>
    </row>
    <row r="490" spans="5:5" x14ac:dyDescent="0.25">
      <c r="E490" s="3"/>
    </row>
    <row r="491" spans="5:5" x14ac:dyDescent="0.25">
      <c r="E491" s="3"/>
    </row>
    <row r="492" spans="5:5" x14ac:dyDescent="0.25">
      <c r="E492" s="3"/>
    </row>
    <row r="493" spans="5:5" x14ac:dyDescent="0.25">
      <c r="E493" s="3"/>
    </row>
    <row r="494" spans="5:5" x14ac:dyDescent="0.25">
      <c r="E494" s="3"/>
    </row>
    <row r="495" spans="5:5" x14ac:dyDescent="0.25">
      <c r="E495" s="3"/>
    </row>
    <row r="496" spans="5:5" x14ac:dyDescent="0.25">
      <c r="E496" s="3"/>
    </row>
    <row r="497" spans="5:5" x14ac:dyDescent="0.25">
      <c r="E497" s="3"/>
    </row>
    <row r="498" spans="5:5" x14ac:dyDescent="0.25">
      <c r="E498" s="3"/>
    </row>
    <row r="499" spans="5:5" x14ac:dyDescent="0.25">
      <c r="E499" s="3"/>
    </row>
    <row r="500" spans="5:5" x14ac:dyDescent="0.25">
      <c r="E500" s="3"/>
    </row>
    <row r="501" spans="5:5" x14ac:dyDescent="0.25">
      <c r="E501" s="3"/>
    </row>
    <row r="502" spans="5:5" x14ac:dyDescent="0.25">
      <c r="E502" s="3"/>
    </row>
    <row r="503" spans="5:5" x14ac:dyDescent="0.25">
      <c r="E503" s="3"/>
    </row>
    <row r="504" spans="5:5" x14ac:dyDescent="0.25">
      <c r="E504" s="3"/>
    </row>
    <row r="505" spans="5:5" x14ac:dyDescent="0.25">
      <c r="E505" s="3"/>
    </row>
    <row r="506" spans="5:5" x14ac:dyDescent="0.25">
      <c r="E506" s="3"/>
    </row>
    <row r="507" spans="5:5" x14ac:dyDescent="0.25">
      <c r="E507" s="3"/>
    </row>
    <row r="508" spans="5:5" x14ac:dyDescent="0.25">
      <c r="E508" s="3"/>
    </row>
    <row r="509" spans="5:5" x14ac:dyDescent="0.25">
      <c r="E509" s="3"/>
    </row>
    <row r="510" spans="5:5" x14ac:dyDescent="0.25">
      <c r="E510" s="3"/>
    </row>
    <row r="511" spans="5:5" x14ac:dyDescent="0.25">
      <c r="E511" s="3"/>
    </row>
    <row r="512" spans="5:5" x14ac:dyDescent="0.25">
      <c r="E512" s="3"/>
    </row>
    <row r="513" spans="5:5" x14ac:dyDescent="0.25">
      <c r="E513" s="3"/>
    </row>
    <row r="514" spans="5:5" x14ac:dyDescent="0.25">
      <c r="E514" s="3"/>
    </row>
    <row r="515" spans="5:5" x14ac:dyDescent="0.25">
      <c r="E515" s="3"/>
    </row>
    <row r="516" spans="5:5" x14ac:dyDescent="0.25">
      <c r="E516" s="3"/>
    </row>
    <row r="517" spans="5:5" x14ac:dyDescent="0.25">
      <c r="E517" s="3"/>
    </row>
    <row r="518" spans="5:5" x14ac:dyDescent="0.25">
      <c r="E518" s="3"/>
    </row>
    <row r="519" spans="5:5" x14ac:dyDescent="0.25">
      <c r="E519" s="3"/>
    </row>
  </sheetData>
  <mergeCells count="1">
    <mergeCell ref="B1:E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arArchivoDetalle4Txt">
                <anchor moveWithCells="1" sizeWithCells="1">
                  <from>
                    <xdr:col>5</xdr:col>
                    <xdr:colOff>552450</xdr:colOff>
                    <xdr:row>0</xdr:row>
                    <xdr:rowOff>123825</xdr:rowOff>
                  </from>
                  <to>
                    <xdr:col>7</xdr:col>
                    <xdr:colOff>666750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ESF</vt:lpstr>
      <vt:lpstr>ERI</vt:lpstr>
      <vt:lpstr>EFE</vt:lpstr>
      <vt:lpstr>ECP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2026-03-26T17:10:06Z</dcterms:modified>
</cp:coreProperties>
</file>