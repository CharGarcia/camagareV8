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VILUB CONTABILIDAD\CONTABILIDAD 2023\"/>
    </mc:Choice>
  </mc:AlternateContent>
  <xr:revisionPtr revIDLastSave="0" documentId="8_{F352B19B-38FB-401C-9D92-7C7636A7B281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definedNames>
    <definedName name="_xlnm._FilterDatabase" localSheetId="0" hidden="1">Detalle!$A$1:$L$41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<sst xmlns="http://schemas.openxmlformats.org/spreadsheetml/2006/main" count="331" uniqueCount="58">
  <si>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</si>
  <si>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</si>
  <si>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</si>
  <si>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</si>
  <si>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</si>
  <si>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</si>
  <si>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</si>
  <si>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</si>
  <si>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</si>
  <si>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</si>
  <si>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</si>
  <si>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</si>
  <si>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</si>
  <si>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</si>
  <si>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</si>
  <si>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</si>
  <si>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52</t>
  </si>
  <si>
    <t>ACDELCO 10W30 SN GALON 6/1</t>
  </si>
  <si>
    <t>ACDELCO 20W50 LITRO 12/1 SN</t>
  </si>
  <si>
    <t>ACDELCO 5W30 GALON 6/1 DEXOS FULL SINTETICO</t>
  </si>
  <si>
    <t>ACDELCO 5W30 LITRO 12/1 FULL SINTETICO DEXOS</t>
  </si>
  <si>
    <t>ACDELCO SAE 15W40 NTRUCK PLATINIUM GALON</t>
  </si>
  <si>
    <t>AMALIE 10W30 LITRO SEMI SINTETICO</t>
  </si>
  <si>
    <t xml:space="preserve">AMALIE 20W50 GALON 4/1 SEMI SINTETICO </t>
  </si>
  <si>
    <t xml:space="preserve">AMALIE 5W40 FULL SINTETICO GALON </t>
  </si>
  <si>
    <t>AMALIE ATF III LITRO TRANSMISION AUTOMATIC Y DIRECC HIDRAU</t>
  </si>
  <si>
    <t>AMALIE SAE 10W30 LITRO MINERAL</t>
  </si>
  <si>
    <t xml:space="preserve">AMALIE SAE 20W50 IMPERIAL GALON </t>
  </si>
  <si>
    <t>AMALIE SAE 40 GALON MINERAL</t>
  </si>
  <si>
    <t xml:space="preserve">AMALIE SAE 40 LITRO </t>
  </si>
  <si>
    <t>AMALIE SYMPLUS 2TIEMPOS 20W20 ACEITE MOTO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</si>
  <si>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</si>
  <si>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</si>
  <si>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</si>
  <si>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</si>
  <si>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</si>
  <si>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</si>
  <si>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>GOLDEN BEAR 8K 10W30 SEMI SINTETICO GALON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</si>
  <si>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</si>
  <si>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</si>
  <si>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</si>
  <si>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</si>
  <si>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CASTROL 5W30 GL</t>
  </si>
  <si>
    <t>MOBIL 10W30 SUPER 1000 GALON 4/1 MINERAL</t>
  </si>
  <si>
    <t>MOBIL 10W30 SUPER 1000 LITRO 12/1 12578</t>
  </si>
  <si>
    <t>MOBIL 1300 SUPER SEMI 15W40 GALON</t>
  </si>
  <si>
    <t xml:space="preserve">MOBIL 20W50 SUPER 1000 GALON 4/1 </t>
  </si>
  <si>
    <t>MOBIL 85W140 LITRO CORONA</t>
  </si>
  <si>
    <t>MOBIL DELVAC 15W40 GALON 4/1 DIESEL</t>
  </si>
  <si>
    <t>MOBIL DELVAC 15W40 LITRO 12/1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</si>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</sst>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7989"/>
  <sheetViews>
    <sheetView tabSelected="1" topLeftCell="A23" workbookViewId="0">
      <selection activeCell="B39" sqref="B39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"52135360"</f>
        <v>52135360</v>
      </c>
      <c r="B2" t="s">
        <v>17</v>
      </c>
      <c r="C2" s="4">
        <v>4</v>
      </c>
      <c r="D2" s="2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57</v>
      </c>
      <c r="K2">
        <v>15.22</v>
      </c>
    </row>
    <row r="3" spans="1:12" x14ac:dyDescent="0.3">
      <c r="A3" t="str">
        <f>"52135366"</f>
        <v>52135366</v>
      </c>
      <c r="B3" t="s">
        <v>18</v>
      </c>
      <c r="C3" s="4">
        <v>3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16</v>
      </c>
      <c r="J3" s="1" t="s">
        <v>57</v>
      </c>
      <c r="K3">
        <v>3.5</v>
      </c>
    </row>
    <row r="4" spans="1:12" x14ac:dyDescent="0.3">
      <c r="A4" t="str">
        <f>"95633176"</f>
        <v>95633176</v>
      </c>
      <c r="B4" t="s">
        <v>19</v>
      </c>
      <c r="C4" s="4">
        <v>2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16</v>
      </c>
      <c r="J4" s="1" t="s">
        <v>57</v>
      </c>
      <c r="K4">
        <v>21.72</v>
      </c>
    </row>
    <row r="5" spans="1:12" x14ac:dyDescent="0.3">
      <c r="A5" t="str">
        <f>"95633175"</f>
        <v>95633175</v>
      </c>
      <c r="B5" t="s">
        <v>20</v>
      </c>
      <c r="C5" s="4">
        <v>1</v>
      </c>
      <c r="D5" s="2" t="s">
        <v>11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16</v>
      </c>
      <c r="J5" s="1" t="s">
        <v>57</v>
      </c>
      <c r="K5">
        <v>5.14</v>
      </c>
    </row>
    <row r="6" spans="1:12" x14ac:dyDescent="0.3">
      <c r="A6" t="str">
        <f>"98551213"</f>
        <v>98551213</v>
      </c>
      <c r="B6" t="s">
        <v>21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16</v>
      </c>
      <c r="J6" s="1" t="s">
        <v>57</v>
      </c>
      <c r="K6">
        <v>0.01</v>
      </c>
    </row>
    <row r="7" spans="1:12" x14ac:dyDescent="0.3">
      <c r="A7" t="str">
        <f>"657699756765"</f>
        <v>657699756765</v>
      </c>
      <c r="B7" t="s">
        <v>22</v>
      </c>
      <c r="C7" s="4">
        <v>13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16</v>
      </c>
      <c r="J7" s="1" t="s">
        <v>57</v>
      </c>
      <c r="K7">
        <v>4.03</v>
      </c>
    </row>
    <row r="8" spans="1:12" x14ac:dyDescent="0.3">
      <c r="A8" t="str">
        <f>"657699756970"</f>
        <v>657699756970</v>
      </c>
      <c r="B8" t="s">
        <v>23</v>
      </c>
      <c r="C8" s="4">
        <v>12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16</v>
      </c>
      <c r="J8" s="1" t="s">
        <v>57</v>
      </c>
      <c r="K8">
        <v>15.6</v>
      </c>
    </row>
    <row r="9" spans="1:12" x14ac:dyDescent="0.3">
      <c r="A9" t="str">
        <f>"657699601973"</f>
        <v>657699601973</v>
      </c>
      <c r="B9" t="s">
        <v>24</v>
      </c>
      <c r="C9" s="4">
        <v>1</v>
      </c>
      <c r="D9" s="2" t="s">
        <v>11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16</v>
      </c>
      <c r="J9" s="1" t="s">
        <v>57</v>
      </c>
      <c r="K9">
        <v>22.72</v>
      </c>
    </row>
    <row r="10" spans="1:12" x14ac:dyDescent="0.3">
      <c r="A10" t="str">
        <f>"657699728366"</f>
        <v>657699728366</v>
      </c>
      <c r="B10" t="s">
        <v>25</v>
      </c>
      <c r="C10" s="4">
        <v>2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16</v>
      </c>
      <c r="J10" s="1" t="s">
        <v>57</v>
      </c>
      <c r="K10">
        <v>3.14</v>
      </c>
    </row>
    <row r="11" spans="1:12" x14ac:dyDescent="0.3">
      <c r="A11" t="str">
        <f>"657699710767"</f>
        <v>657699710767</v>
      </c>
      <c r="B11" t="s">
        <v>26</v>
      </c>
      <c r="C11" s="4">
        <v>1</v>
      </c>
      <c r="D11" s="2" t="s">
        <v>11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16</v>
      </c>
      <c r="J11" s="1" t="s">
        <v>57</v>
      </c>
      <c r="K11">
        <v>4.0999999999999996</v>
      </c>
    </row>
    <row r="12" spans="1:12" x14ac:dyDescent="0.3">
      <c r="A12" t="str">
        <f>"657699710972"</f>
        <v>657699710972</v>
      </c>
      <c r="B12" t="s">
        <v>27</v>
      </c>
      <c r="C12" s="4">
        <v>3</v>
      </c>
      <c r="D12" s="2" t="s">
        <v>11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16</v>
      </c>
      <c r="J12" s="1" t="s">
        <v>57</v>
      </c>
      <c r="K12">
        <v>15.56</v>
      </c>
    </row>
    <row r="13" spans="1:12" x14ac:dyDescent="0.3">
      <c r="A13" t="str">
        <f>"657699610470"</f>
        <v>657699610470</v>
      </c>
      <c r="B13" t="s">
        <v>28</v>
      </c>
      <c r="C13" s="4">
        <v>1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16</v>
      </c>
      <c r="J13" s="1" t="s">
        <v>57</v>
      </c>
      <c r="K13">
        <v>12.19</v>
      </c>
    </row>
    <row r="14" spans="1:12" x14ac:dyDescent="0.3">
      <c r="A14" t="str">
        <f>"657699610463"</f>
        <v>657699610463</v>
      </c>
      <c r="B14" t="s">
        <v>29</v>
      </c>
      <c r="C14" s="4">
        <v>1</v>
      </c>
      <c r="D14" s="2" t="s">
        <v>11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16</v>
      </c>
      <c r="J14" s="1" t="s">
        <v>57</v>
      </c>
      <c r="K14">
        <v>3.1</v>
      </c>
    </row>
    <row r="15" spans="1:12" x14ac:dyDescent="0.3">
      <c r="A15" t="str">
        <f>"657699627966"</f>
        <v>657699627966</v>
      </c>
      <c r="B15" t="s">
        <v>30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16</v>
      </c>
      <c r="J15" s="1" t="s">
        <v>57</v>
      </c>
      <c r="K15">
        <v>3.8</v>
      </c>
    </row>
    <row r="16" spans="1:12" x14ac:dyDescent="0.3">
      <c r="A16" t="str">
        <f>"7861023601765"</f>
        <v>7861023601765</v>
      </c>
      <c r="B16" t="s">
        <v>31</v>
      </c>
      <c r="C16" s="4">
        <v>13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16</v>
      </c>
      <c r="J16" s="1" t="s">
        <v>57</v>
      </c>
      <c r="K16">
        <v>3.75</v>
      </c>
    </row>
    <row r="17" spans="1:11" x14ac:dyDescent="0.3">
      <c r="A17" t="str">
        <f>"7862105972360"</f>
        <v>7862105972360</v>
      </c>
      <c r="B17" t="s">
        <v>32</v>
      </c>
      <c r="C17" s="4">
        <v>12</v>
      </c>
      <c r="D17" s="2" t="s">
        <v>11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16</v>
      </c>
      <c r="J17" s="1" t="s">
        <v>57</v>
      </c>
      <c r="K17">
        <v>5.7</v>
      </c>
    </row>
    <row r="18" spans="1:11" x14ac:dyDescent="0.3">
      <c r="A18" t="str">
        <f>"7862105971608"</f>
        <v>7862105971608</v>
      </c>
      <c r="B18" t="s">
        <v>33</v>
      </c>
      <c r="C18" s="4">
        <v>8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16</v>
      </c>
      <c r="J18" s="1" t="s">
        <v>57</v>
      </c>
      <c r="K18">
        <v>13.15</v>
      </c>
    </row>
    <row r="19" spans="1:11" x14ac:dyDescent="0.3">
      <c r="A19" t="str">
        <f>"7862105971615"</f>
        <v>7862105971615</v>
      </c>
      <c r="B19" t="s">
        <v>34</v>
      </c>
      <c r="C19" s="4">
        <v>6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16</v>
      </c>
      <c r="J19" s="1" t="s">
        <v>57</v>
      </c>
      <c r="K19">
        <v>3.43</v>
      </c>
    </row>
    <row r="20" spans="1:11" x14ac:dyDescent="0.3">
      <c r="A20" t="str">
        <f>"7862105972476"</f>
        <v>7862105972476</v>
      </c>
      <c r="B20" t="s">
        <v>35</v>
      </c>
      <c r="C20" s="4">
        <v>30</v>
      </c>
      <c r="D20" s="2" t="s">
        <v>11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16</v>
      </c>
      <c r="J20" s="1" t="s">
        <v>57</v>
      </c>
      <c r="K20">
        <v>14.83</v>
      </c>
    </row>
    <row r="21" spans="1:11" x14ac:dyDescent="0.3">
      <c r="A21" t="str">
        <f>"7862105970410"</f>
        <v>7862105970410</v>
      </c>
      <c r="B21" t="s">
        <v>36</v>
      </c>
      <c r="C21" s="4">
        <v>3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16</v>
      </c>
      <c r="J21" s="1" t="s">
        <v>57</v>
      </c>
      <c r="K21">
        <v>4</v>
      </c>
    </row>
    <row r="22" spans="1:11" x14ac:dyDescent="0.3">
      <c r="A22" t="str">
        <f>"7862105972391"</f>
        <v>7862105972391</v>
      </c>
      <c r="B22" t="s">
        <v>37</v>
      </c>
      <c r="C22" s="4">
        <v>2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16</v>
      </c>
      <c r="J22" s="1" t="s">
        <v>57</v>
      </c>
      <c r="K22">
        <v>16.73</v>
      </c>
    </row>
    <row r="23" spans="1:11" x14ac:dyDescent="0.3">
      <c r="A23" t="str">
        <f>"7862105971561"</f>
        <v>7862105971561</v>
      </c>
      <c r="B23" t="s">
        <v>38</v>
      </c>
      <c r="C23" s="4">
        <v>10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16</v>
      </c>
      <c r="J23" s="1" t="s">
        <v>57</v>
      </c>
      <c r="K23">
        <v>3.43</v>
      </c>
    </row>
    <row r="24" spans="1:11" x14ac:dyDescent="0.3">
      <c r="A24" t="str">
        <f>"7862105972438"</f>
        <v>7862105972438</v>
      </c>
      <c r="B24" t="s">
        <v>39</v>
      </c>
      <c r="C24" s="4">
        <v>2</v>
      </c>
      <c r="D24" s="2" t="s">
        <v>11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16</v>
      </c>
      <c r="J24" s="1" t="s">
        <v>57</v>
      </c>
      <c r="K24">
        <v>16.52</v>
      </c>
    </row>
    <row r="25" spans="1:11" x14ac:dyDescent="0.3">
      <c r="A25" t="str">
        <f>"7861000172028"</f>
        <v>7861000172028</v>
      </c>
      <c r="B25" t="s">
        <v>40</v>
      </c>
      <c r="C25" s="4">
        <v>1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16</v>
      </c>
      <c r="J25" s="1" t="s">
        <v>57</v>
      </c>
      <c r="K25">
        <v>12.33</v>
      </c>
    </row>
    <row r="26" spans="1:11" x14ac:dyDescent="0.3">
      <c r="A26" t="str">
        <f>"7862105971349"</f>
        <v>7862105971349</v>
      </c>
      <c r="B26" t="s">
        <v>41</v>
      </c>
      <c r="C26" s="4">
        <v>3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16</v>
      </c>
      <c r="J26" s="1" t="s">
        <v>57</v>
      </c>
      <c r="K26">
        <v>3.43</v>
      </c>
    </row>
    <row r="27" spans="1:11" x14ac:dyDescent="0.3">
      <c r="A27" t="str">
        <f>"7861023602489"</f>
        <v>7861023602489</v>
      </c>
      <c r="B27" t="s">
        <v>42</v>
      </c>
      <c r="C27" s="4">
        <v>13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16</v>
      </c>
      <c r="J27" s="1" t="s">
        <v>57</v>
      </c>
      <c r="K27">
        <v>15.8</v>
      </c>
    </row>
    <row r="28" spans="1:11" x14ac:dyDescent="0.3">
      <c r="A28" t="str">
        <f>"7751673000387"</f>
        <v>7751673000387</v>
      </c>
      <c r="B28" t="s">
        <v>43</v>
      </c>
      <c r="C28" s="4">
        <v>39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16</v>
      </c>
      <c r="J28" s="1" t="s">
        <v>57</v>
      </c>
      <c r="K28">
        <v>14.04</v>
      </c>
    </row>
    <row r="29" spans="1:11" x14ac:dyDescent="0.3">
      <c r="A29" t="str">
        <f>"7751673000370"</f>
        <v>7751673000370</v>
      </c>
      <c r="B29" t="s">
        <v>44</v>
      </c>
      <c r="C29" s="4">
        <v>70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16</v>
      </c>
      <c r="J29" s="1" t="s">
        <v>57</v>
      </c>
      <c r="K29">
        <v>3.99</v>
      </c>
    </row>
    <row r="30" spans="1:11" x14ac:dyDescent="0.3">
      <c r="A30" t="str">
        <f>"7751673000813"</f>
        <v>7751673000813</v>
      </c>
      <c r="B30" t="s">
        <v>45</v>
      </c>
      <c r="C30" s="4">
        <v>9</v>
      </c>
      <c r="D30" s="2" t="s">
        <v>11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16</v>
      </c>
      <c r="J30" s="1" t="s">
        <v>57</v>
      </c>
      <c r="K30">
        <v>17.12</v>
      </c>
    </row>
    <row r="31" spans="1:11" x14ac:dyDescent="0.3">
      <c r="A31" t="str">
        <f>"7751673000363"</f>
        <v>7751673000363</v>
      </c>
      <c r="B31" t="s">
        <v>46</v>
      </c>
      <c r="C31" s="4">
        <v>51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16</v>
      </c>
      <c r="J31" s="1" t="s">
        <v>57</v>
      </c>
      <c r="K31">
        <v>13.48</v>
      </c>
    </row>
    <row r="32" spans="1:11" x14ac:dyDescent="0.3">
      <c r="A32" t="str">
        <f>"7704790200550"</f>
        <v>7704790200550</v>
      </c>
      <c r="B32" t="s">
        <v>47</v>
      </c>
      <c r="C32" s="4">
        <v>4</v>
      </c>
      <c r="D32" s="2" t="s">
        <v>11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16</v>
      </c>
      <c r="J32" s="1" t="s">
        <v>57</v>
      </c>
      <c r="K32">
        <v>4.17</v>
      </c>
    </row>
    <row r="33" spans="1:11" x14ac:dyDescent="0.3">
      <c r="A33" t="str">
        <f>"7751673594695"</f>
        <v>7751673594695</v>
      </c>
      <c r="B33" t="s">
        <v>48</v>
      </c>
      <c r="C33" s="4">
        <v>7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16</v>
      </c>
      <c r="J33" s="1" t="s">
        <v>57</v>
      </c>
      <c r="K33">
        <v>18.3</v>
      </c>
    </row>
    <row r="34" spans="1:11" x14ac:dyDescent="0.3">
      <c r="A34" t="str">
        <f>"7751673653361"</f>
        <v>7751673653361</v>
      </c>
      <c r="B34" t="s">
        <v>49</v>
      </c>
      <c r="C34" s="4">
        <v>5</v>
      </c>
      <c r="D34" s="2" t="s">
        <v>11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16</v>
      </c>
      <c r="J34" s="1" t="s">
        <v>57</v>
      </c>
      <c r="K34">
        <v>4.7699999999999996</v>
      </c>
    </row>
    <row r="35" spans="1:11" x14ac:dyDescent="0.3">
      <c r="A35" t="str">
        <f>"7704790204879"</f>
        <v>7704790204879</v>
      </c>
      <c r="B35" t="s">
        <v>50</v>
      </c>
      <c r="C35" s="4">
        <v>32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16</v>
      </c>
      <c r="J35" s="1" t="s">
        <v>57</v>
      </c>
      <c r="K35">
        <v>16.440000000000001</v>
      </c>
    </row>
    <row r="36" spans="1:11" x14ac:dyDescent="0.3">
      <c r="A36" t="str">
        <f>"7704790200161"</f>
        <v>7704790200161</v>
      </c>
      <c r="B36" t="s">
        <v>51</v>
      </c>
      <c r="C36" s="4">
        <v>24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16</v>
      </c>
      <c r="J36" s="1" t="s">
        <v>57</v>
      </c>
      <c r="K36">
        <v>4.32</v>
      </c>
    </row>
    <row r="37" spans="1:11" x14ac:dyDescent="0.3">
      <c r="A37" t="str">
        <f>"7704790200093"</f>
        <v>7704790200093</v>
      </c>
      <c r="B37" t="s">
        <v>52</v>
      </c>
      <c r="C37" s="4">
        <v>4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16</v>
      </c>
      <c r="J37" s="1" t="s">
        <v>57</v>
      </c>
      <c r="K37">
        <v>3.11</v>
      </c>
    </row>
    <row r="38" spans="1:11" x14ac:dyDescent="0.3">
      <c r="A38" t="str">
        <f>"7751673000356"</f>
        <v>7751673000356</v>
      </c>
      <c r="B38" t="s">
        <v>53</v>
      </c>
      <c r="C38" s="4">
        <v>66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16</v>
      </c>
      <c r="J38" s="1" t="s">
        <v>57</v>
      </c>
      <c r="K38">
        <v>3.88</v>
      </c>
    </row>
    <row r="39" spans="1:11" x14ac:dyDescent="0.3">
      <c r="A39" t="str">
        <f>"7751673001292"</f>
        <v>7751673001292</v>
      </c>
      <c r="B39" t="s">
        <v>54</v>
      </c>
      <c r="C39" s="4">
        <v>15</v>
      </c>
      <c r="D39" s="2" t="s">
        <v>11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16</v>
      </c>
      <c r="J39" s="1" t="s">
        <v>57</v>
      </c>
      <c r="K39">
        <v>16.34</v>
      </c>
    </row>
    <row r="40" spans="1:11" x14ac:dyDescent="0.3">
      <c r="A40" t="str">
        <f>"7751673000455"</f>
        <v>7751673000455</v>
      </c>
      <c r="B40" t="s">
        <v>55</v>
      </c>
      <c r="C40" s="4">
        <v>41</v>
      </c>
      <c r="D40" s="2" t="s">
        <v>11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16</v>
      </c>
      <c r="J40" s="1" t="s">
        <v>57</v>
      </c>
      <c r="K40">
        <v>4.2</v>
      </c>
    </row>
    <row r="41" spans="1:11" x14ac:dyDescent="0.3">
      <c r="A41" t="str">
        <f>"7751673001315"</f>
        <v>7751673001315</v>
      </c>
      <c r="B41" t="s">
        <v>56</v>
      </c>
      <c r="C41" s="4">
        <v>10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16</v>
      </c>
      <c r="J41" s="1" t="s">
        <v>57</v>
      </c>
      <c r="K41">
        <v>15.8</v>
      </c>
    </row>
    <row r="1047989" spans="3:3" x14ac:dyDescent="0.3">
      <c r="C1047989" s="4"/>
    </row>
  </sheetData>
  <autoFilter ref="A1:L41" xr:uid="{D5097758-C8E6-4056-97E8-AFB71A6816E7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2023-03-18T01:19:16Z</dcterms:modified>
</cp:coreProperties>
</file>