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LAVILUB CONTABILIDAD\CONTABILIDAD 2023\"/>
    </mc:Choice>
  </mc:AlternateContent>
  <xr:revisionPtr revIDLastSave="0" documentId="8_{EFC252BF-6AC9-4597-A5A8-4088F1DF3E5B}" xr6:coauthVersionLast="47" xr6:coauthVersionMax="47" xr10:uidLastSave="{00000000-0000-0000-0000-000000000000}"/>
  <bookViews>
    <workbookView xWindow="-108" yWindow="-108" windowWidth="19416" windowHeight="10416" xr2:uid="{0CA2AA4A-C55E-4E9A-9D94-D946EE3BD496}"/>
  </bookViews>
  <sheets>
    <sheet name="Detal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58" i="1" l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Carlos Garcia revelo</author>
  </authors>
  <commentList>
    <comment ref="D1" authorId="0" shapeId="0" xr:uid="{8AF8942A-A499-4DD9-9911-83B33988E931}">
      <text>
        <r>
          <rPr>
            <b/>
            <sz val="9"/>
            <color indexed="81"/>
            <rFont val="Tahoma"/>
            <family val="2"/>
          </rPr>
          <t>ENTRADA O SALIDA</t>
        </r>
      </text>
    </comment>
    <comment ref="E1" authorId="0" shapeId="0" xr:uid="{72D533A1-7843-40B9-BE24-CE67CDC0B921}">
      <text>
        <r>
          <rPr>
            <b/>
            <sz val="9"/>
            <color indexed="81"/>
            <rFont val="Tahoma"/>
            <family val="2"/>
          </rPr>
          <t>formato Tipo TEXTO: 00</t>
        </r>
      </text>
    </comment>
    <comment ref="F1" authorId="0" shapeId="0" xr:uid="{4E1DE883-0DAF-417B-AED6-9B5CBB5D02BA}">
      <text>
        <r>
          <rPr>
            <b/>
            <sz val="9"/>
            <color indexed="81"/>
            <rFont val="Tahoma"/>
            <family val="2"/>
          </rPr>
          <t>formato Tipo TEXTO: 00</t>
        </r>
      </text>
    </comment>
    <comment ref="G1" authorId="0" shapeId="0" xr:uid="{E54657C1-514C-4B08-A453-AE9ACBA9A19F}">
      <text>
        <r>
          <rPr>
            <b/>
            <sz val="9"/>
            <color indexed="81"/>
            <rFont val="Tahoma"/>
            <family val="2"/>
          </rPr>
          <t>formato Tipo TEXTO: 0000</t>
        </r>
      </text>
    </comment>
    <comment ref="H1" authorId="0" shapeId="0" xr:uid="{E999B0C1-15A8-4B0D-897A-FD6B7F885CB1}">
      <text>
        <r>
          <rPr>
            <b/>
            <sz val="9"/>
            <color indexed="81"/>
            <rFont val="Tahoma"/>
            <family val="2"/>
          </rPr>
          <t>Carlos Garcia revelo:</t>
        </r>
        <r>
          <rPr>
            <sz val="9"/>
            <color indexed="81"/>
            <rFont val="Tahoma"/>
            <family val="2"/>
          </rPr>
          <t xml:space="preserve">
Un detalle de la carga, ejemplo: importación enero 2020</t>
        </r>
      </text>
    </comment>
    <comment ref="I1" authorId="0" shapeId="0" xr:uid="{AEB7F56D-97D9-4B25-AE67-4666CB125B8E}">
      <text>
        <r>
          <rPr>
            <b/>
            <sz val="9"/>
            <color indexed="81"/>
            <rFont val="Tahoma"/>
            <family val="2"/>
          </rPr>
          <t>Carlos Garcia revelo:</t>
        </r>
        <r>
          <rPr>
            <sz val="9"/>
            <color indexed="81"/>
            <rFont val="Tahoma"/>
            <family val="2"/>
          </rPr>
          <t xml:space="preserve">
el ID lo podemos obtener en el módulo de bodegas</t>
        </r>
      </text>
    </comment>
  </commentList>
</comments>
</file>

<file path=xl/sharedStrings.xml><?xml version="1.0" encoding="utf-8"?>
<sst xmlns="http://schemas.openxmlformats.org/spreadsheetml/2006/main" count="477" uniqueCount="79">
  <si>
    <t>código_producto</t>
  </si>
  <si>
    <t>nombre_producto</t>
  </si>
  <si>
    <t>Referencia</t>
  </si>
  <si>
    <t>id_bodega</t>
  </si>
  <si>
    <t>lote</t>
  </si>
  <si>
    <t>cantidad</t>
  </si>
  <si>
    <t>tipo</t>
  </si>
  <si>
    <t>Dia_vencimiento</t>
  </si>
  <si>
    <t>Mes_vencimiento</t>
  </si>
  <si>
    <t>Año_vencimiento</t>
  </si>
  <si>
    <t>Costo</t>
  </si>
  <si>
    <t>SALIDA</t>
  </si>
  <si>
    <t>31</t>
  </si>
  <si>
    <t>12</t>
  </si>
  <si>
    <t>2030</t>
  </si>
  <si>
    <t>AJUSTE INV FISICO</t>
  </si>
  <si>
    <t>ENTRADA</t>
  </si>
  <si>
    <t>52</t>
  </si>
  <si>
    <t>ACDELCO 10W30 LITRO 12/1 SN</t>
  </si>
  <si>
    <t>ACDELCO 10W30 SN GALON 6/1</t>
  </si>
  <si>
    <t>ACDELCO 20W50 LITRO 12/1 SN</t>
  </si>
  <si>
    <t>ACDELCO 20W50 SN GALON 6/1</t>
  </si>
  <si>
    <t>ACDELCO 5W30 GALON 6/1 DEXOS FULL SINTETICO</t>
  </si>
  <si>
    <t>ACDELCO 5W30 LITRO 12/1 FULL SINTETICO DEXOS</t>
  </si>
  <si>
    <t>ACDELCO SAE 15W40 NTRUCK PLATINIUM GALON</t>
  </si>
  <si>
    <t xml:space="preserve">AMALIE 10W30 GALON 4/1 SEMI SINTETICO </t>
  </si>
  <si>
    <t>AMALIE 10W30 LITRO SEMI SINTETICO</t>
  </si>
  <si>
    <t xml:space="preserve">AMALIE 15W40  LITRO 12/1 MINERAL </t>
  </si>
  <si>
    <t xml:space="preserve">AMALIE 15W40 LITRO 12/1 SEMI SINTETICO </t>
  </si>
  <si>
    <t xml:space="preserve">AMALIE 20W50 GALON 4/1 SEMI SINTETICO </t>
  </si>
  <si>
    <t>AMALIE 20W50 LITRO SEMI SINTETICO</t>
  </si>
  <si>
    <t xml:space="preserve">AMALIE 5W40 FULL SINTETICO GALON </t>
  </si>
  <si>
    <t>AMALIE ATF III LITRO TRANSMISION AUTOMATIC Y DIRECC HIDRAU</t>
  </si>
  <si>
    <t>AMALIE SAE 10W30 GALON 4/1 MINERAL AM-71077-36</t>
  </si>
  <si>
    <t>AMALIE SAE 10W30 LITRO MINERAL</t>
  </si>
  <si>
    <t xml:space="preserve">AMALIE SAE 20W50 IMPERIAL GALON </t>
  </si>
  <si>
    <t xml:space="preserve">AMALIE SAE 20W50 LITRO 12/1 MINERAL </t>
  </si>
  <si>
    <t>AMALIE SAE 40 GALON MINERAL</t>
  </si>
  <si>
    <t xml:space="preserve">AMALIE SAE 40 LITRO </t>
  </si>
  <si>
    <t>AMALIE SYMPLUS 2TIEMPOS 20W20 ACEITE MOTO</t>
  </si>
  <si>
    <t>CASTROL GTX 20W50 LITRO</t>
  </si>
  <si>
    <t>CASTROL MAGNATEC 10W30 LITRO SEMISINTETICO</t>
  </si>
  <si>
    <t>GOLDEN BEAR 10W30 SEMI  SINTETICO</t>
  </si>
  <si>
    <t>GOLDEN BEAR 20W50 5K GALON</t>
  </si>
  <si>
    <t>GOLDEN BEAR 20W50 5K LITRO PLUS</t>
  </si>
  <si>
    <t xml:space="preserve">GOLDEN BEAR 5K GALON 20W50 </t>
  </si>
  <si>
    <t>GOLDEN BEAR 80W90 LITRO CORONA Y CAJA</t>
  </si>
  <si>
    <t xml:space="preserve">GOLDEN BEAR 8K 10W30 LITRO SEMI SINTETICO </t>
  </si>
  <si>
    <t>GOLDEN BEAR 8K 10W30 SEMI SINTETICO GALON</t>
  </si>
  <si>
    <t>GOLDEN BEAR ATF DEXRON III LITRO DIRECCION HIDRAULICA</t>
  </si>
  <si>
    <t>GOLDEN BEAR LITRO 20W50 7K SEMISINTETICO</t>
  </si>
  <si>
    <t xml:space="preserve">GOLDEN BEAR SAE 20W50 GALON SEMI SINTETICO </t>
  </si>
  <si>
    <t>GOLDEN BEAR SAE 40 GALON MINERAL 6/1</t>
  </si>
  <si>
    <t>GOLDEN BEAR SEMI SINTETICO LITRO 10W30</t>
  </si>
  <si>
    <t>MAGNATEC 10W30 SP 41 GL</t>
  </si>
  <si>
    <t>MAGNATEC CASTROL 10W30 LITRO</t>
  </si>
  <si>
    <t>MAGNATEC CASTROL 5W30 GL</t>
  </si>
  <si>
    <t>MOBIL 10W30 SUPER 1000 GALON 4/1 MINERAL</t>
  </si>
  <si>
    <t>MOBIL 10W30 SUPER 1000 LITRO 12/1 12578</t>
  </si>
  <si>
    <t>MOBIL 1300 SUPER SEMI 15W40 GALON</t>
  </si>
  <si>
    <t>MOBIL 15W40 MINI CANECA</t>
  </si>
  <si>
    <t xml:space="preserve">MOBIL 20W50 SUPER 1000 GALON 4/1 </t>
  </si>
  <si>
    <t>MOBIL 5W30 SEMI SINTETICO GALON 4X4</t>
  </si>
  <si>
    <t>MOBIL 85W140 LITRO CORONA</t>
  </si>
  <si>
    <t>MOBIL DELVAC 15W40 GALON 4/1 DIESEL</t>
  </si>
  <si>
    <t>MOBIL DELVAC 15W40 LITRO 12/1</t>
  </si>
  <si>
    <t xml:space="preserve">MOBIL GALON  SUPER 2000 10W30 SEMI SINTETICO </t>
  </si>
  <si>
    <t>MOBIL GALON SUPER 2000 10W30 SEMI SINTETICO</t>
  </si>
  <si>
    <t>MOBIL LITRO SUPER 2000 10 W30 SEMISINTETICO</t>
  </si>
  <si>
    <t>MOBIL MOTO 2TIEMPOS UN LITRO</t>
  </si>
  <si>
    <t xml:space="preserve">MOBIL SUPER 1000 20W50 LITRO </t>
  </si>
  <si>
    <t>MOBIL SUPER 10W30 MULTIGRADO</t>
  </si>
  <si>
    <t>MOBIL SUPER 2000 5W30 SEMI SINTETICO LITRO 12/1</t>
  </si>
  <si>
    <t>MOBIL SUPER 20W50 MULTIGRADO</t>
  </si>
  <si>
    <t>7751673001612</t>
  </si>
  <si>
    <t>MOBIL DELVAC 15W40 GALON DIESEL</t>
  </si>
  <si>
    <t>7862105972483</t>
  </si>
  <si>
    <t>GOLDEN BEAR 20W50 LITRO SP</t>
  </si>
  <si>
    <t>162023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</si>
</sst>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164" fontId="0" fillId="0" borderId="0" xfId="1" applyFont="1"/>
    <xf numFmtId="49" fontId="0" fillId="0" borderId="0" xfId="1" applyNumberFormat="1" applyFont="1"/>
    <xf numFmtId="0" fontId="0" fillId="0" borderId="1" xfId="0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97758-C8E6-4056-97E8-AFB71A6816E7}">
  <dimension ref="A1:L1048569"/>
  <sheetViews>
    <sheetView tabSelected="1" topLeftCell="C1" workbookViewId="0">
      <selection activeCell="F6" sqref="F6"/>
    </sheetView>
  </sheetViews>
  <sheetFormatPr baseColWidth="10" defaultRowHeight="14.4" x14ac:dyDescent="0.3"/>
  <cols>
    <col min="1" max="1" width="19.44140625" style="1" customWidth="1"/>
    <col min="2" max="2" width="60" style="1" bestFit="1" customWidth="1"/>
    <col min="3" max="3" width="21" style="2" customWidth="1"/>
    <col min="4" max="4" width="18.88671875" style="2" customWidth="1"/>
    <col min="5" max="6" width="18.88671875" style="3" customWidth="1"/>
    <col min="7" max="7" width="19.5546875" style="1" customWidth="1"/>
    <col min="8" max="8" width="16.33203125" bestFit="1" customWidth="1"/>
    <col min="9" max="9" width="14.5546875" customWidth="1"/>
    <col min="10" max="10" width="11.44140625" style="1"/>
  </cols>
  <sheetData>
    <row r="1" spans="1:12" x14ac:dyDescent="0.3">
      <c r="A1" s="1" t="s">
        <v>0</v>
      </c>
      <c r="B1" s="1" t="s">
        <v>1</v>
      </c>
      <c r="C1" s="2" t="s">
        <v>5</v>
      </c>
      <c r="D1" s="2" t="s">
        <v>6</v>
      </c>
      <c r="E1" s="1" t="s">
        <v>7</v>
      </c>
      <c r="F1" s="1" t="s">
        <v>8</v>
      </c>
      <c r="G1" s="1" t="s">
        <v>9</v>
      </c>
      <c r="H1" t="s">
        <v>2</v>
      </c>
      <c r="I1" t="s">
        <v>3</v>
      </c>
      <c r="J1" s="1" t="s">
        <v>4</v>
      </c>
      <c r="K1" s="1" t="s">
        <v>10</v>
      </c>
      <c r="L1" s="1"/>
    </row>
    <row r="2" spans="1:12" x14ac:dyDescent="0.3">
      <c r="A2" t="str">
        <f>"52135361"</f>
        <v>52135361</v>
      </c>
      <c r="B2" t="s">
        <v>18</v>
      </c>
      <c r="C2" s="4">
        <v>1</v>
      </c>
      <c r="D2" s="2" t="s">
        <v>16</v>
      </c>
      <c r="E2" s="3" t="s">
        <v>12</v>
      </c>
      <c r="F2" s="3" t="s">
        <v>13</v>
      </c>
      <c r="G2" s="1" t="s">
        <v>14</v>
      </c>
      <c r="H2" s="1" t="s">
        <v>15</v>
      </c>
      <c r="I2" s="1" t="s">
        <v>17</v>
      </c>
      <c r="J2" s="1" t="s">
        <v>78</v>
      </c>
      <c r="K2">
        <v>3.86</v>
      </c>
    </row>
    <row r="3" spans="1:12" x14ac:dyDescent="0.3">
      <c r="A3" t="str">
        <f>"52135360"</f>
        <v>52135360</v>
      </c>
      <c r="B3" t="s">
        <v>19</v>
      </c>
      <c r="C3" s="4">
        <v>4</v>
      </c>
      <c r="D3" s="2" t="s">
        <v>11</v>
      </c>
      <c r="E3" s="3" t="s">
        <v>12</v>
      </c>
      <c r="F3" s="3" t="s">
        <v>13</v>
      </c>
      <c r="G3" s="1" t="s">
        <v>14</v>
      </c>
      <c r="H3" s="1" t="s">
        <v>15</v>
      </c>
      <c r="I3" s="1" t="s">
        <v>17</v>
      </c>
      <c r="J3" s="1" t="s">
        <v>78</v>
      </c>
      <c r="K3">
        <v>15.22</v>
      </c>
    </row>
    <row r="4" spans="1:12" x14ac:dyDescent="0.3">
      <c r="A4" t="str">
        <f>"52135366"</f>
        <v>52135366</v>
      </c>
      <c r="B4" t="s">
        <v>20</v>
      </c>
      <c r="C4" s="4">
        <v>3</v>
      </c>
      <c r="D4" s="2" t="s">
        <v>11</v>
      </c>
      <c r="E4" s="3" t="s">
        <v>12</v>
      </c>
      <c r="F4" s="3" t="s">
        <v>13</v>
      </c>
      <c r="G4" s="1" t="s">
        <v>14</v>
      </c>
      <c r="H4" s="1" t="s">
        <v>15</v>
      </c>
      <c r="I4" s="1" t="s">
        <v>17</v>
      </c>
      <c r="J4" s="1" t="s">
        <v>78</v>
      </c>
      <c r="K4">
        <v>3.5</v>
      </c>
    </row>
    <row r="5" spans="1:12" x14ac:dyDescent="0.3">
      <c r="A5" t="str">
        <f>"52135365"</f>
        <v>52135365</v>
      </c>
      <c r="B5" t="s">
        <v>21</v>
      </c>
      <c r="C5" s="4">
        <v>6</v>
      </c>
      <c r="D5" s="2" t="s">
        <v>16</v>
      </c>
      <c r="E5" s="3" t="s">
        <v>12</v>
      </c>
      <c r="F5" s="3" t="s">
        <v>13</v>
      </c>
      <c r="G5" s="1" t="s">
        <v>14</v>
      </c>
      <c r="H5" s="1" t="s">
        <v>15</v>
      </c>
      <c r="I5" s="1" t="s">
        <v>17</v>
      </c>
      <c r="J5" s="1" t="s">
        <v>78</v>
      </c>
      <c r="K5">
        <v>13.84</v>
      </c>
    </row>
    <row r="6" spans="1:12" x14ac:dyDescent="0.3">
      <c r="A6" t="str">
        <f>"95633176"</f>
        <v>95633176</v>
      </c>
      <c r="B6" t="s">
        <v>22</v>
      </c>
      <c r="C6" s="4">
        <v>2</v>
      </c>
      <c r="D6" s="2" t="s">
        <v>11</v>
      </c>
      <c r="E6" s="3" t="s">
        <v>12</v>
      </c>
      <c r="F6" s="3" t="s">
        <v>13</v>
      </c>
      <c r="G6" s="1" t="s">
        <v>14</v>
      </c>
      <c r="H6" s="1" t="s">
        <v>15</v>
      </c>
      <c r="I6" s="1" t="s">
        <v>17</v>
      </c>
      <c r="J6" s="1" t="s">
        <v>78</v>
      </c>
      <c r="K6">
        <v>21.72</v>
      </c>
    </row>
    <row r="7" spans="1:12" x14ac:dyDescent="0.3">
      <c r="A7" t="str">
        <f>"95633175"</f>
        <v>95633175</v>
      </c>
      <c r="B7" t="s">
        <v>23</v>
      </c>
      <c r="C7" s="4">
        <v>1</v>
      </c>
      <c r="D7" s="2" t="s">
        <v>11</v>
      </c>
      <c r="E7" s="3" t="s">
        <v>12</v>
      </c>
      <c r="F7" s="3" t="s">
        <v>13</v>
      </c>
      <c r="G7" s="1" t="s">
        <v>14</v>
      </c>
      <c r="H7" s="1" t="s">
        <v>15</v>
      </c>
      <c r="I7" s="1" t="s">
        <v>17</v>
      </c>
      <c r="J7" s="1" t="s">
        <v>78</v>
      </c>
      <c r="K7">
        <v>5.14</v>
      </c>
    </row>
    <row r="8" spans="1:12" x14ac:dyDescent="0.3">
      <c r="A8" t="str">
        <f>"98551213"</f>
        <v>98551213</v>
      </c>
      <c r="B8" t="s">
        <v>24</v>
      </c>
      <c r="C8" s="4">
        <v>2</v>
      </c>
      <c r="D8" s="2" t="s">
        <v>11</v>
      </c>
      <c r="E8" s="3" t="s">
        <v>12</v>
      </c>
      <c r="F8" s="3" t="s">
        <v>13</v>
      </c>
      <c r="G8" s="1" t="s">
        <v>14</v>
      </c>
      <c r="H8" s="1" t="s">
        <v>15</v>
      </c>
      <c r="I8" s="1" t="s">
        <v>17</v>
      </c>
      <c r="J8" s="1" t="s">
        <v>78</v>
      </c>
      <c r="K8">
        <v>0.01</v>
      </c>
    </row>
    <row r="9" spans="1:12" x14ac:dyDescent="0.3">
      <c r="A9" t="str">
        <f>"657699756772"</f>
        <v>657699756772</v>
      </c>
      <c r="B9" t="s">
        <v>25</v>
      </c>
      <c r="C9" s="4">
        <v>2</v>
      </c>
      <c r="D9" s="2" t="s">
        <v>16</v>
      </c>
      <c r="E9" s="3" t="s">
        <v>12</v>
      </c>
      <c r="F9" s="3" t="s">
        <v>13</v>
      </c>
      <c r="G9" s="1" t="s">
        <v>14</v>
      </c>
      <c r="H9" s="1" t="s">
        <v>15</v>
      </c>
      <c r="I9" s="1" t="s">
        <v>17</v>
      </c>
      <c r="J9" s="1" t="s">
        <v>78</v>
      </c>
      <c r="K9">
        <v>16.579999999999998</v>
      </c>
    </row>
    <row r="10" spans="1:12" x14ac:dyDescent="0.3">
      <c r="A10" t="str">
        <f>"657699756765"</f>
        <v>657699756765</v>
      </c>
      <c r="B10" t="s">
        <v>26</v>
      </c>
      <c r="C10" s="4">
        <v>13</v>
      </c>
      <c r="D10" s="2" t="s">
        <v>11</v>
      </c>
      <c r="E10" s="3" t="s">
        <v>12</v>
      </c>
      <c r="F10" s="3" t="s">
        <v>13</v>
      </c>
      <c r="G10" s="1" t="s">
        <v>14</v>
      </c>
      <c r="H10" s="1" t="s">
        <v>15</v>
      </c>
      <c r="I10" s="1" t="s">
        <v>17</v>
      </c>
      <c r="J10" s="1" t="s">
        <v>78</v>
      </c>
      <c r="K10">
        <v>4.03</v>
      </c>
    </row>
    <row r="11" spans="1:12" x14ac:dyDescent="0.3">
      <c r="A11" t="str">
        <f>"657699717063"</f>
        <v>657699717063</v>
      </c>
      <c r="B11" t="s">
        <v>27</v>
      </c>
      <c r="C11" s="4">
        <v>2</v>
      </c>
      <c r="D11" s="2" t="s">
        <v>16</v>
      </c>
      <c r="E11" s="3" t="s">
        <v>12</v>
      </c>
      <c r="F11" s="3" t="s">
        <v>13</v>
      </c>
      <c r="G11" s="1" t="s">
        <v>14</v>
      </c>
      <c r="H11" s="1" t="s">
        <v>15</v>
      </c>
      <c r="I11" s="1" t="s">
        <v>17</v>
      </c>
      <c r="J11" s="1" t="s">
        <v>78</v>
      </c>
      <c r="K11">
        <v>4.1399999999999997</v>
      </c>
    </row>
    <row r="12" spans="1:12" x14ac:dyDescent="0.3">
      <c r="A12" t="str">
        <f>"657699791063"</f>
        <v>657699791063</v>
      </c>
      <c r="B12" t="s">
        <v>28</v>
      </c>
      <c r="C12" s="4">
        <v>13</v>
      </c>
      <c r="D12" s="2" t="s">
        <v>16</v>
      </c>
      <c r="E12" s="3" t="s">
        <v>12</v>
      </c>
      <c r="F12" s="3" t="s">
        <v>13</v>
      </c>
      <c r="G12" s="1" t="s">
        <v>14</v>
      </c>
      <c r="H12" s="1" t="s">
        <v>15</v>
      </c>
      <c r="I12" s="1" t="s">
        <v>17</v>
      </c>
      <c r="J12" s="1" t="s">
        <v>78</v>
      </c>
      <c r="K12">
        <v>4.24</v>
      </c>
    </row>
    <row r="13" spans="1:12" x14ac:dyDescent="0.3">
      <c r="A13" t="str">
        <f>"657699756970"</f>
        <v>657699756970</v>
      </c>
      <c r="B13" t="s">
        <v>29</v>
      </c>
      <c r="C13" s="4">
        <v>12</v>
      </c>
      <c r="D13" s="2" t="s">
        <v>11</v>
      </c>
      <c r="E13" s="3" t="s">
        <v>12</v>
      </c>
      <c r="F13" s="3" t="s">
        <v>13</v>
      </c>
      <c r="G13" s="1" t="s">
        <v>14</v>
      </c>
      <c r="H13" s="1" t="s">
        <v>15</v>
      </c>
      <c r="I13" s="1" t="s">
        <v>17</v>
      </c>
      <c r="J13" s="1" t="s">
        <v>78</v>
      </c>
      <c r="K13">
        <v>15.6</v>
      </c>
    </row>
    <row r="14" spans="1:12" x14ac:dyDescent="0.3">
      <c r="A14" t="str">
        <f>"657699756963"</f>
        <v>657699756963</v>
      </c>
      <c r="B14" t="s">
        <v>30</v>
      </c>
      <c r="C14" s="4">
        <v>3</v>
      </c>
      <c r="D14" s="2" t="s">
        <v>16</v>
      </c>
      <c r="E14" s="3" t="s">
        <v>12</v>
      </c>
      <c r="F14" s="3" t="s">
        <v>13</v>
      </c>
      <c r="G14" s="1" t="s">
        <v>14</v>
      </c>
      <c r="H14" s="1" t="s">
        <v>15</v>
      </c>
      <c r="I14" s="1" t="s">
        <v>17</v>
      </c>
      <c r="J14" s="1" t="s">
        <v>78</v>
      </c>
      <c r="K14">
        <v>3.55</v>
      </c>
    </row>
    <row r="15" spans="1:12" x14ac:dyDescent="0.3">
      <c r="A15" t="str">
        <f>"657699601973"</f>
        <v>657699601973</v>
      </c>
      <c r="B15" t="s">
        <v>31</v>
      </c>
      <c r="C15" s="4">
        <v>1</v>
      </c>
      <c r="D15" s="2" t="s">
        <v>11</v>
      </c>
      <c r="E15" s="3" t="s">
        <v>12</v>
      </c>
      <c r="F15" s="3" t="s">
        <v>13</v>
      </c>
      <c r="G15" s="1" t="s">
        <v>14</v>
      </c>
      <c r="H15" s="1" t="s">
        <v>15</v>
      </c>
      <c r="I15" s="1" t="s">
        <v>17</v>
      </c>
      <c r="J15" s="1" t="s">
        <v>78</v>
      </c>
      <c r="K15">
        <v>22.72</v>
      </c>
    </row>
    <row r="16" spans="1:12" x14ac:dyDescent="0.3">
      <c r="A16" t="str">
        <f>"657699728366"</f>
        <v>657699728366</v>
      </c>
      <c r="B16" t="s">
        <v>32</v>
      </c>
      <c r="C16" s="4">
        <v>2</v>
      </c>
      <c r="D16" s="2" t="s">
        <v>11</v>
      </c>
      <c r="E16" s="3" t="s">
        <v>12</v>
      </c>
      <c r="F16" s="3" t="s">
        <v>13</v>
      </c>
      <c r="G16" s="1" t="s">
        <v>14</v>
      </c>
      <c r="H16" s="1" t="s">
        <v>15</v>
      </c>
      <c r="I16" s="1" t="s">
        <v>17</v>
      </c>
      <c r="J16" s="1" t="s">
        <v>78</v>
      </c>
      <c r="K16">
        <v>3.14</v>
      </c>
    </row>
    <row r="17" spans="1:11" x14ac:dyDescent="0.3">
      <c r="A17" t="str">
        <f>"657699710774"</f>
        <v>657699710774</v>
      </c>
      <c r="B17" t="s">
        <v>33</v>
      </c>
      <c r="C17" s="4">
        <v>11</v>
      </c>
      <c r="D17" s="2" t="s">
        <v>16</v>
      </c>
      <c r="E17" s="3" t="s">
        <v>12</v>
      </c>
      <c r="F17" s="3" t="s">
        <v>13</v>
      </c>
      <c r="G17" s="1" t="s">
        <v>14</v>
      </c>
      <c r="H17" s="1" t="s">
        <v>15</v>
      </c>
      <c r="I17" s="1" t="s">
        <v>17</v>
      </c>
      <c r="J17" s="1" t="s">
        <v>78</v>
      </c>
      <c r="K17">
        <v>15.92</v>
      </c>
    </row>
    <row r="18" spans="1:11" x14ac:dyDescent="0.3">
      <c r="A18" t="str">
        <f>"657699710767"</f>
        <v>657699710767</v>
      </c>
      <c r="B18" t="s">
        <v>34</v>
      </c>
      <c r="C18" s="4">
        <v>1</v>
      </c>
      <c r="D18" s="2" t="s">
        <v>11</v>
      </c>
      <c r="E18" s="3" t="s">
        <v>12</v>
      </c>
      <c r="F18" s="3" t="s">
        <v>13</v>
      </c>
      <c r="G18" s="1" t="s">
        <v>14</v>
      </c>
      <c r="H18" s="1" t="s">
        <v>15</v>
      </c>
      <c r="I18" s="1" t="s">
        <v>17</v>
      </c>
      <c r="J18" s="1" t="s">
        <v>78</v>
      </c>
      <c r="K18">
        <v>4.0999999999999996</v>
      </c>
    </row>
    <row r="19" spans="1:11" x14ac:dyDescent="0.3">
      <c r="A19" t="str">
        <f>"657699710972"</f>
        <v>657699710972</v>
      </c>
      <c r="B19" t="s">
        <v>35</v>
      </c>
      <c r="C19" s="4">
        <v>3</v>
      </c>
      <c r="D19" s="2" t="s">
        <v>11</v>
      </c>
      <c r="E19" s="3" t="s">
        <v>12</v>
      </c>
      <c r="F19" s="3" t="s">
        <v>13</v>
      </c>
      <c r="G19" s="1" t="s">
        <v>14</v>
      </c>
      <c r="H19" s="1" t="s">
        <v>15</v>
      </c>
      <c r="I19" s="1" t="s">
        <v>17</v>
      </c>
      <c r="J19" s="1" t="s">
        <v>78</v>
      </c>
      <c r="K19">
        <v>15.56</v>
      </c>
    </row>
    <row r="20" spans="1:11" x14ac:dyDescent="0.3">
      <c r="A20" t="str">
        <f>"657699710965"</f>
        <v>657699710965</v>
      </c>
      <c r="B20" t="s">
        <v>36</v>
      </c>
      <c r="C20" s="4">
        <v>1</v>
      </c>
      <c r="D20" s="2" t="s">
        <v>16</v>
      </c>
      <c r="E20" s="3" t="s">
        <v>12</v>
      </c>
      <c r="F20" s="3" t="s">
        <v>13</v>
      </c>
      <c r="G20" s="1" t="s">
        <v>14</v>
      </c>
      <c r="H20" s="1" t="s">
        <v>15</v>
      </c>
      <c r="I20" s="1" t="s">
        <v>17</v>
      </c>
      <c r="J20" s="1" t="s">
        <v>78</v>
      </c>
      <c r="K20">
        <v>3.62</v>
      </c>
    </row>
    <row r="21" spans="1:11" x14ac:dyDescent="0.3">
      <c r="A21" t="str">
        <f>"657699610470"</f>
        <v>657699610470</v>
      </c>
      <c r="B21" t="s">
        <v>37</v>
      </c>
      <c r="C21" s="4">
        <v>1</v>
      </c>
      <c r="D21" s="2" t="s">
        <v>11</v>
      </c>
      <c r="E21" s="3" t="s">
        <v>12</v>
      </c>
      <c r="F21" s="3" t="s">
        <v>13</v>
      </c>
      <c r="G21" s="1" t="s">
        <v>14</v>
      </c>
      <c r="H21" s="1" t="s">
        <v>15</v>
      </c>
      <c r="I21" s="1" t="s">
        <v>17</v>
      </c>
      <c r="J21" s="1" t="s">
        <v>78</v>
      </c>
      <c r="K21">
        <v>12.19</v>
      </c>
    </row>
    <row r="22" spans="1:11" x14ac:dyDescent="0.3">
      <c r="A22" t="str">
        <f>"657699610463"</f>
        <v>657699610463</v>
      </c>
      <c r="B22" t="s">
        <v>38</v>
      </c>
      <c r="C22" s="4">
        <v>1</v>
      </c>
      <c r="D22" s="2" t="s">
        <v>11</v>
      </c>
      <c r="E22" s="3" t="s">
        <v>12</v>
      </c>
      <c r="F22" s="3" t="s">
        <v>13</v>
      </c>
      <c r="G22" s="1" t="s">
        <v>14</v>
      </c>
      <c r="H22" s="1" t="s">
        <v>15</v>
      </c>
      <c r="I22" s="1" t="s">
        <v>17</v>
      </c>
      <c r="J22" s="1" t="s">
        <v>78</v>
      </c>
      <c r="K22">
        <v>3.1</v>
      </c>
    </row>
    <row r="23" spans="1:11" x14ac:dyDescent="0.3">
      <c r="A23" t="str">
        <f>"657699627966"</f>
        <v>657699627966</v>
      </c>
      <c r="B23" t="s">
        <v>39</v>
      </c>
      <c r="C23" s="4">
        <v>1</v>
      </c>
      <c r="D23" s="2" t="s">
        <v>11</v>
      </c>
      <c r="E23" s="3" t="s">
        <v>12</v>
      </c>
      <c r="F23" s="3" t="s">
        <v>13</v>
      </c>
      <c r="G23" s="1" t="s">
        <v>14</v>
      </c>
      <c r="H23" s="1" t="s">
        <v>15</v>
      </c>
      <c r="I23" s="1" t="s">
        <v>17</v>
      </c>
      <c r="J23" s="1" t="s">
        <v>78</v>
      </c>
      <c r="K23">
        <v>3.8</v>
      </c>
    </row>
    <row r="24" spans="1:11" x14ac:dyDescent="0.3">
      <c r="A24" t="str">
        <f>"7861023601680"</f>
        <v>7861023601680</v>
      </c>
      <c r="B24" t="s">
        <v>40</v>
      </c>
      <c r="C24" s="4">
        <v>11</v>
      </c>
      <c r="D24" s="2" t="s">
        <v>16</v>
      </c>
      <c r="E24" s="3" t="s">
        <v>12</v>
      </c>
      <c r="F24" s="3" t="s">
        <v>13</v>
      </c>
      <c r="G24" s="1" t="s">
        <v>14</v>
      </c>
      <c r="H24" s="1" t="s">
        <v>15</v>
      </c>
      <c r="I24" s="1" t="s">
        <v>17</v>
      </c>
      <c r="J24" s="1" t="s">
        <v>78</v>
      </c>
      <c r="K24">
        <v>3.43</v>
      </c>
    </row>
    <row r="25" spans="1:11" x14ac:dyDescent="0.3">
      <c r="A25" t="str">
        <f>"7861023601765"</f>
        <v>7861023601765</v>
      </c>
      <c r="B25" t="s">
        <v>41</v>
      </c>
      <c r="C25" s="4">
        <v>13</v>
      </c>
      <c r="D25" s="2" t="s">
        <v>11</v>
      </c>
      <c r="E25" s="3" t="s">
        <v>12</v>
      </c>
      <c r="F25" s="3" t="s">
        <v>13</v>
      </c>
      <c r="G25" s="1" t="s">
        <v>14</v>
      </c>
      <c r="H25" s="1" t="s">
        <v>15</v>
      </c>
      <c r="I25" s="1" t="s">
        <v>17</v>
      </c>
      <c r="J25" s="1" t="s">
        <v>78</v>
      </c>
      <c r="K25">
        <v>3.75</v>
      </c>
    </row>
    <row r="26" spans="1:11" x14ac:dyDescent="0.3">
      <c r="A26" t="str">
        <f>"7862105972360"</f>
        <v>7862105972360</v>
      </c>
      <c r="B26" t="s">
        <v>42</v>
      </c>
      <c r="C26" s="4">
        <v>12</v>
      </c>
      <c r="D26" s="2" t="s">
        <v>11</v>
      </c>
      <c r="E26" s="3" t="s">
        <v>12</v>
      </c>
      <c r="F26" s="3" t="s">
        <v>13</v>
      </c>
      <c r="G26" s="1" t="s">
        <v>14</v>
      </c>
      <c r="H26" s="1" t="s">
        <v>15</v>
      </c>
      <c r="I26" s="1" t="s">
        <v>17</v>
      </c>
      <c r="J26" s="1" t="s">
        <v>78</v>
      </c>
      <c r="K26">
        <v>5.7</v>
      </c>
    </row>
    <row r="27" spans="1:11" x14ac:dyDescent="0.3">
      <c r="A27" t="str">
        <f>"7862105971608"</f>
        <v>7862105971608</v>
      </c>
      <c r="B27" t="s">
        <v>43</v>
      </c>
      <c r="C27" s="4">
        <v>8</v>
      </c>
      <c r="D27" s="2" t="s">
        <v>11</v>
      </c>
      <c r="E27" s="3" t="s">
        <v>12</v>
      </c>
      <c r="F27" s="3" t="s">
        <v>13</v>
      </c>
      <c r="G27" s="1" t="s">
        <v>14</v>
      </c>
      <c r="H27" s="1" t="s">
        <v>15</v>
      </c>
      <c r="I27" s="1" t="s">
        <v>17</v>
      </c>
      <c r="J27" s="1" t="s">
        <v>78</v>
      </c>
      <c r="K27">
        <v>13.15</v>
      </c>
    </row>
    <row r="28" spans="1:11" x14ac:dyDescent="0.3">
      <c r="A28" t="str">
        <f>"7862105971615"</f>
        <v>7862105971615</v>
      </c>
      <c r="B28" t="s">
        <v>44</v>
      </c>
      <c r="C28" s="4">
        <v>6</v>
      </c>
      <c r="D28" s="2" t="s">
        <v>11</v>
      </c>
      <c r="E28" s="3" t="s">
        <v>12</v>
      </c>
      <c r="F28" s="3" t="s">
        <v>13</v>
      </c>
      <c r="G28" s="1" t="s">
        <v>14</v>
      </c>
      <c r="H28" s="1" t="s">
        <v>15</v>
      </c>
      <c r="I28" s="1" t="s">
        <v>17</v>
      </c>
      <c r="J28" s="1" t="s">
        <v>78</v>
      </c>
      <c r="K28">
        <v>3.43</v>
      </c>
    </row>
    <row r="29" spans="1:11" x14ac:dyDescent="0.3">
      <c r="A29" t="str">
        <f>"7862105972476"</f>
        <v>7862105972476</v>
      </c>
      <c r="B29" t="s">
        <v>45</v>
      </c>
      <c r="C29" s="4">
        <v>30</v>
      </c>
      <c r="D29" s="2" t="s">
        <v>11</v>
      </c>
      <c r="E29" s="3" t="s">
        <v>12</v>
      </c>
      <c r="F29" s="3" t="s">
        <v>13</v>
      </c>
      <c r="G29" s="1" t="s">
        <v>14</v>
      </c>
      <c r="H29" s="1" t="s">
        <v>15</v>
      </c>
      <c r="I29" s="1" t="s">
        <v>17</v>
      </c>
      <c r="J29" s="1" t="s">
        <v>78</v>
      </c>
      <c r="K29">
        <v>14.83</v>
      </c>
    </row>
    <row r="30" spans="1:11" x14ac:dyDescent="0.3">
      <c r="A30" s="1" t="s">
        <v>76</v>
      </c>
      <c r="B30" s="1" t="s">
        <v>77</v>
      </c>
      <c r="C30" s="4">
        <v>12</v>
      </c>
      <c r="D30" s="2" t="s">
        <v>16</v>
      </c>
      <c r="E30" s="3" t="s">
        <v>12</v>
      </c>
      <c r="F30" s="3" t="s">
        <v>13</v>
      </c>
      <c r="G30" s="1" t="s">
        <v>14</v>
      </c>
      <c r="H30" s="1" t="s">
        <v>15</v>
      </c>
      <c r="I30" s="1" t="s">
        <v>17</v>
      </c>
      <c r="J30" s="1" t="s">
        <v>78</v>
      </c>
      <c r="K30">
        <v>3.25</v>
      </c>
    </row>
    <row r="31" spans="1:11" x14ac:dyDescent="0.3">
      <c r="A31" t="str">
        <f>"7862105970410"</f>
        <v>7862105970410</v>
      </c>
      <c r="B31" t="s">
        <v>46</v>
      </c>
      <c r="C31" s="4">
        <v>3</v>
      </c>
      <c r="D31" s="2" t="s">
        <v>11</v>
      </c>
      <c r="E31" s="3" t="s">
        <v>12</v>
      </c>
      <c r="F31" s="3" t="s">
        <v>13</v>
      </c>
      <c r="G31" s="1" t="s">
        <v>14</v>
      </c>
      <c r="H31" s="1" t="s">
        <v>15</v>
      </c>
      <c r="I31" s="1" t="s">
        <v>17</v>
      </c>
      <c r="J31" s="1" t="s">
        <v>78</v>
      </c>
      <c r="K31">
        <v>4</v>
      </c>
    </row>
    <row r="32" spans="1:11" x14ac:dyDescent="0.3">
      <c r="A32" t="str">
        <f>"7862105972407"</f>
        <v>7862105972407</v>
      </c>
      <c r="B32" t="s">
        <v>47</v>
      </c>
      <c r="C32" s="4">
        <v>1</v>
      </c>
      <c r="D32" s="2" t="s">
        <v>16</v>
      </c>
      <c r="E32" s="3" t="s">
        <v>12</v>
      </c>
      <c r="F32" s="3" t="s">
        <v>13</v>
      </c>
      <c r="G32" s="1" t="s">
        <v>14</v>
      </c>
      <c r="H32" s="1" t="s">
        <v>15</v>
      </c>
      <c r="I32" s="1" t="s">
        <v>17</v>
      </c>
      <c r="J32" s="1" t="s">
        <v>78</v>
      </c>
      <c r="K32">
        <v>2.94</v>
      </c>
    </row>
    <row r="33" spans="1:11" x14ac:dyDescent="0.3">
      <c r="A33" t="str">
        <f>"7862105972391"</f>
        <v>7862105972391</v>
      </c>
      <c r="B33" t="s">
        <v>48</v>
      </c>
      <c r="C33" s="4">
        <v>2</v>
      </c>
      <c r="D33" s="2" t="s">
        <v>11</v>
      </c>
      <c r="E33" s="3" t="s">
        <v>12</v>
      </c>
      <c r="F33" s="3" t="s">
        <v>13</v>
      </c>
      <c r="G33" s="1" t="s">
        <v>14</v>
      </c>
      <c r="H33" s="1" t="s">
        <v>15</v>
      </c>
      <c r="I33" s="1" t="s">
        <v>17</v>
      </c>
      <c r="J33" s="1" t="s">
        <v>78</v>
      </c>
      <c r="K33">
        <v>16.73</v>
      </c>
    </row>
    <row r="34" spans="1:11" x14ac:dyDescent="0.3">
      <c r="A34" t="str">
        <f>"7862105971424"</f>
        <v>7862105971424</v>
      </c>
      <c r="B34" t="s">
        <v>49</v>
      </c>
      <c r="C34" s="4">
        <v>1</v>
      </c>
      <c r="D34" s="2" t="s">
        <v>16</v>
      </c>
      <c r="E34" s="3" t="s">
        <v>12</v>
      </c>
      <c r="F34" s="3" t="s">
        <v>13</v>
      </c>
      <c r="G34" s="1" t="s">
        <v>14</v>
      </c>
      <c r="H34" s="1" t="s">
        <v>15</v>
      </c>
      <c r="I34" s="1" t="s">
        <v>17</v>
      </c>
      <c r="J34" s="1" t="s">
        <v>78</v>
      </c>
      <c r="K34">
        <v>3.92</v>
      </c>
    </row>
    <row r="35" spans="1:11" x14ac:dyDescent="0.3">
      <c r="A35" t="str">
        <f>"7862105971561"</f>
        <v>7862105971561</v>
      </c>
      <c r="B35" t="s">
        <v>50</v>
      </c>
      <c r="C35" s="4">
        <v>10</v>
      </c>
      <c r="D35" s="2" t="s">
        <v>11</v>
      </c>
      <c r="E35" s="3" t="s">
        <v>12</v>
      </c>
      <c r="F35" s="3" t="s">
        <v>13</v>
      </c>
      <c r="G35" s="1" t="s">
        <v>14</v>
      </c>
      <c r="H35" s="1" t="s">
        <v>15</v>
      </c>
      <c r="I35" s="1" t="s">
        <v>17</v>
      </c>
      <c r="J35" s="1" t="s">
        <v>78</v>
      </c>
      <c r="K35">
        <v>3.43</v>
      </c>
    </row>
    <row r="36" spans="1:11" x14ac:dyDescent="0.3">
      <c r="A36" t="str">
        <f>"7862105972438"</f>
        <v>7862105972438</v>
      </c>
      <c r="B36" t="s">
        <v>51</v>
      </c>
      <c r="C36" s="4">
        <v>2</v>
      </c>
      <c r="D36" s="2" t="s">
        <v>11</v>
      </c>
      <c r="E36" s="3" t="s">
        <v>12</v>
      </c>
      <c r="F36" s="3" t="s">
        <v>13</v>
      </c>
      <c r="G36" s="1" t="s">
        <v>14</v>
      </c>
      <c r="H36" s="1" t="s">
        <v>15</v>
      </c>
      <c r="I36" s="1" t="s">
        <v>17</v>
      </c>
      <c r="J36" s="1" t="s">
        <v>78</v>
      </c>
      <c r="K36">
        <v>16.52</v>
      </c>
    </row>
    <row r="37" spans="1:11" x14ac:dyDescent="0.3">
      <c r="A37" t="str">
        <f>"7861000172028"</f>
        <v>7861000172028</v>
      </c>
      <c r="B37" t="s">
        <v>52</v>
      </c>
      <c r="C37" s="4">
        <v>1</v>
      </c>
      <c r="D37" s="2" t="s">
        <v>11</v>
      </c>
      <c r="E37" s="3" t="s">
        <v>12</v>
      </c>
      <c r="F37" s="3" t="s">
        <v>13</v>
      </c>
      <c r="G37" s="1" t="s">
        <v>14</v>
      </c>
      <c r="H37" s="1" t="s">
        <v>15</v>
      </c>
      <c r="I37" s="1" t="s">
        <v>17</v>
      </c>
      <c r="J37" s="1" t="s">
        <v>78</v>
      </c>
      <c r="K37">
        <v>12.33</v>
      </c>
    </row>
    <row r="38" spans="1:11" x14ac:dyDescent="0.3">
      <c r="A38" t="str">
        <f>"7862105971349"</f>
        <v>7862105971349</v>
      </c>
      <c r="B38" t="s">
        <v>53</v>
      </c>
      <c r="C38" s="4">
        <v>3</v>
      </c>
      <c r="D38" s="2" t="s">
        <v>11</v>
      </c>
      <c r="E38" s="3" t="s">
        <v>12</v>
      </c>
      <c r="F38" s="3" t="s">
        <v>13</v>
      </c>
      <c r="G38" s="1" t="s">
        <v>14</v>
      </c>
      <c r="H38" s="1" t="s">
        <v>15</v>
      </c>
      <c r="I38" s="1" t="s">
        <v>17</v>
      </c>
      <c r="J38" s="1" t="s">
        <v>78</v>
      </c>
      <c r="K38">
        <v>3.43</v>
      </c>
    </row>
    <row r="39" spans="1:11" x14ac:dyDescent="0.3">
      <c r="A39" t="str">
        <f>"7861023602519"</f>
        <v>7861023602519</v>
      </c>
      <c r="B39" t="s">
        <v>54</v>
      </c>
      <c r="C39" s="4">
        <v>15</v>
      </c>
      <c r="D39" s="2" t="s">
        <v>16</v>
      </c>
      <c r="E39" s="3" t="s">
        <v>12</v>
      </c>
      <c r="F39" s="3" t="s">
        <v>13</v>
      </c>
      <c r="G39" s="1" t="s">
        <v>14</v>
      </c>
      <c r="H39" s="1" t="s">
        <v>15</v>
      </c>
      <c r="I39" s="1" t="s">
        <v>17</v>
      </c>
      <c r="J39" s="1" t="s">
        <v>78</v>
      </c>
      <c r="K39">
        <v>15.8</v>
      </c>
    </row>
    <row r="40" spans="1:11" x14ac:dyDescent="0.3">
      <c r="A40" t="str">
        <f>"7861023602526"</f>
        <v>7861023602526</v>
      </c>
      <c r="B40" t="s">
        <v>55</v>
      </c>
      <c r="C40" s="4">
        <v>2</v>
      </c>
      <c r="D40" s="2" t="s">
        <v>16</v>
      </c>
      <c r="E40" s="3" t="s">
        <v>12</v>
      </c>
      <c r="F40" s="3" t="s">
        <v>13</v>
      </c>
      <c r="G40" s="1" t="s">
        <v>14</v>
      </c>
      <c r="H40" s="1" t="s">
        <v>15</v>
      </c>
      <c r="I40" s="1" t="s">
        <v>17</v>
      </c>
      <c r="J40" s="1" t="s">
        <v>78</v>
      </c>
      <c r="K40">
        <v>4.5599999999999996</v>
      </c>
    </row>
    <row r="41" spans="1:11" x14ac:dyDescent="0.3">
      <c r="A41" t="str">
        <f>"7861023602489"</f>
        <v>7861023602489</v>
      </c>
      <c r="B41" t="s">
        <v>56</v>
      </c>
      <c r="C41" s="4">
        <v>13</v>
      </c>
      <c r="D41" s="2" t="s">
        <v>11</v>
      </c>
      <c r="E41" s="3" t="s">
        <v>12</v>
      </c>
      <c r="F41" s="3" t="s">
        <v>13</v>
      </c>
      <c r="G41" s="1" t="s">
        <v>14</v>
      </c>
      <c r="H41" s="1" t="s">
        <v>15</v>
      </c>
      <c r="I41" s="1" t="s">
        <v>17</v>
      </c>
      <c r="J41" s="1" t="s">
        <v>78</v>
      </c>
      <c r="K41">
        <v>15.8</v>
      </c>
    </row>
    <row r="42" spans="1:11" x14ac:dyDescent="0.3">
      <c r="A42" t="str">
        <f>"7751673000387"</f>
        <v>7751673000387</v>
      </c>
      <c r="B42" t="s">
        <v>57</v>
      </c>
      <c r="C42" s="4">
        <v>39</v>
      </c>
      <c r="D42" s="2" t="s">
        <v>11</v>
      </c>
      <c r="E42" s="3" t="s">
        <v>12</v>
      </c>
      <c r="F42" s="3" t="s">
        <v>13</v>
      </c>
      <c r="G42" s="1" t="s">
        <v>14</v>
      </c>
      <c r="H42" s="1" t="s">
        <v>15</v>
      </c>
      <c r="I42" s="1" t="s">
        <v>17</v>
      </c>
      <c r="J42" s="1" t="s">
        <v>78</v>
      </c>
      <c r="K42">
        <v>14.04</v>
      </c>
    </row>
    <row r="43" spans="1:11" x14ac:dyDescent="0.3">
      <c r="A43" t="str">
        <f>"7751673000370"</f>
        <v>7751673000370</v>
      </c>
      <c r="B43" t="s">
        <v>58</v>
      </c>
      <c r="C43" s="4">
        <v>70</v>
      </c>
      <c r="D43" s="2" t="s">
        <v>11</v>
      </c>
      <c r="E43" s="3" t="s">
        <v>12</v>
      </c>
      <c r="F43" s="3" t="s">
        <v>13</v>
      </c>
      <c r="G43" s="1" t="s">
        <v>14</v>
      </c>
      <c r="H43" s="1" t="s">
        <v>15</v>
      </c>
      <c r="I43" s="1" t="s">
        <v>17</v>
      </c>
      <c r="J43" s="1" t="s">
        <v>78</v>
      </c>
      <c r="K43">
        <v>3.99</v>
      </c>
    </row>
    <row r="44" spans="1:11" x14ac:dyDescent="0.3">
      <c r="A44" t="str">
        <f>"7751673000813"</f>
        <v>7751673000813</v>
      </c>
      <c r="B44" t="s">
        <v>59</v>
      </c>
      <c r="C44" s="4">
        <v>9</v>
      </c>
      <c r="D44" s="2" t="s">
        <v>11</v>
      </c>
      <c r="E44" s="3" t="s">
        <v>12</v>
      </c>
      <c r="F44" s="3" t="s">
        <v>13</v>
      </c>
      <c r="G44" s="1" t="s">
        <v>14</v>
      </c>
      <c r="H44" s="1" t="s">
        <v>15</v>
      </c>
      <c r="I44" s="1" t="s">
        <v>17</v>
      </c>
      <c r="J44" s="1" t="s">
        <v>78</v>
      </c>
      <c r="K44">
        <v>17.12</v>
      </c>
    </row>
    <row r="45" spans="1:11" x14ac:dyDescent="0.3">
      <c r="A45" t="str">
        <f>"7751673000011"</f>
        <v>7751673000011</v>
      </c>
      <c r="B45" t="s">
        <v>60</v>
      </c>
      <c r="C45" s="4">
        <v>1</v>
      </c>
      <c r="D45" s="2" t="s">
        <v>16</v>
      </c>
      <c r="E45" s="3" t="s">
        <v>12</v>
      </c>
      <c r="F45" s="3" t="s">
        <v>13</v>
      </c>
      <c r="G45" s="1" t="s">
        <v>14</v>
      </c>
      <c r="H45" s="1" t="s">
        <v>15</v>
      </c>
      <c r="I45" s="1" t="s">
        <v>17</v>
      </c>
      <c r="J45" s="1" t="s">
        <v>78</v>
      </c>
      <c r="K45">
        <v>38.75</v>
      </c>
    </row>
    <row r="46" spans="1:11" x14ac:dyDescent="0.3">
      <c r="A46" t="str">
        <f>"7751673000363"</f>
        <v>7751673000363</v>
      </c>
      <c r="B46" t="s">
        <v>61</v>
      </c>
      <c r="C46" s="4">
        <v>51</v>
      </c>
      <c r="D46" s="2" t="s">
        <v>11</v>
      </c>
      <c r="E46" s="3" t="s">
        <v>12</v>
      </c>
      <c r="F46" s="3" t="s">
        <v>13</v>
      </c>
      <c r="G46" s="1" t="s">
        <v>14</v>
      </c>
      <c r="H46" s="1" t="s">
        <v>15</v>
      </c>
      <c r="I46" s="1" t="s">
        <v>17</v>
      </c>
      <c r="J46" s="1" t="s">
        <v>78</v>
      </c>
      <c r="K46">
        <v>13.48</v>
      </c>
    </row>
    <row r="47" spans="1:11" x14ac:dyDescent="0.3">
      <c r="A47" t="str">
        <f>"7751673001230"</f>
        <v>7751673001230</v>
      </c>
      <c r="B47" t="s">
        <v>62</v>
      </c>
      <c r="C47" s="4">
        <v>1</v>
      </c>
      <c r="D47" s="2" t="s">
        <v>16</v>
      </c>
      <c r="E47" s="3" t="s">
        <v>12</v>
      </c>
      <c r="F47" s="3" t="s">
        <v>13</v>
      </c>
      <c r="G47" s="1" t="s">
        <v>14</v>
      </c>
      <c r="H47" s="1" t="s">
        <v>15</v>
      </c>
      <c r="I47" s="1" t="s">
        <v>17</v>
      </c>
      <c r="J47" s="1" t="s">
        <v>78</v>
      </c>
      <c r="K47">
        <v>19.170000000000002</v>
      </c>
    </row>
    <row r="48" spans="1:11" x14ac:dyDescent="0.3">
      <c r="A48" t="str">
        <f>"7704790200550"</f>
        <v>7704790200550</v>
      </c>
      <c r="B48" t="s">
        <v>63</v>
      </c>
      <c r="C48" s="4">
        <v>4</v>
      </c>
      <c r="D48" s="2" t="s">
        <v>11</v>
      </c>
      <c r="E48" s="3" t="s">
        <v>12</v>
      </c>
      <c r="F48" s="3" t="s">
        <v>13</v>
      </c>
      <c r="G48" s="1" t="s">
        <v>14</v>
      </c>
      <c r="H48" s="1" t="s">
        <v>15</v>
      </c>
      <c r="I48" s="1" t="s">
        <v>17</v>
      </c>
      <c r="J48" s="1" t="s">
        <v>78</v>
      </c>
      <c r="K48">
        <v>4.17</v>
      </c>
    </row>
    <row r="49" spans="1:11" x14ac:dyDescent="0.3">
      <c r="A49" t="str">
        <f>"7751673594695"</f>
        <v>7751673594695</v>
      </c>
      <c r="B49" t="s">
        <v>64</v>
      </c>
      <c r="C49" s="4">
        <v>7</v>
      </c>
      <c r="D49" s="2" t="s">
        <v>11</v>
      </c>
      <c r="E49" s="3" t="s">
        <v>12</v>
      </c>
      <c r="F49" s="3" t="s">
        <v>13</v>
      </c>
      <c r="G49" s="1" t="s">
        <v>14</v>
      </c>
      <c r="H49" s="1" t="s">
        <v>15</v>
      </c>
      <c r="I49" s="1" t="s">
        <v>17</v>
      </c>
      <c r="J49" s="1" t="s">
        <v>78</v>
      </c>
      <c r="K49">
        <v>18.3</v>
      </c>
    </row>
    <row r="50" spans="1:11" x14ac:dyDescent="0.3">
      <c r="A50" t="str">
        <f>"7751673653361"</f>
        <v>7751673653361</v>
      </c>
      <c r="B50" t="s">
        <v>65</v>
      </c>
      <c r="C50" s="4">
        <v>5</v>
      </c>
      <c r="D50" s="2" t="s">
        <v>11</v>
      </c>
      <c r="E50" s="3" t="s">
        <v>12</v>
      </c>
      <c r="F50" s="3" t="s">
        <v>13</v>
      </c>
      <c r="G50" s="1" t="s">
        <v>14</v>
      </c>
      <c r="H50" s="1" t="s">
        <v>15</v>
      </c>
      <c r="I50" s="1" t="s">
        <v>17</v>
      </c>
      <c r="J50" s="1" t="s">
        <v>78</v>
      </c>
      <c r="K50">
        <v>4.7699999999999996</v>
      </c>
    </row>
    <row r="51" spans="1:11" x14ac:dyDescent="0.3">
      <c r="A51" t="str">
        <f>"7704790200178"</f>
        <v>7704790200178</v>
      </c>
      <c r="B51" t="s">
        <v>66</v>
      </c>
      <c r="C51" s="4">
        <v>10</v>
      </c>
      <c r="D51" s="2" t="s">
        <v>16</v>
      </c>
      <c r="E51" s="3" t="s">
        <v>12</v>
      </c>
      <c r="F51" s="3" t="s">
        <v>13</v>
      </c>
      <c r="G51" s="1" t="s">
        <v>14</v>
      </c>
      <c r="H51" s="1" t="s">
        <v>15</v>
      </c>
      <c r="I51" s="1" t="s">
        <v>17</v>
      </c>
      <c r="J51" s="1" t="s">
        <v>78</v>
      </c>
      <c r="K51">
        <v>15.31</v>
      </c>
    </row>
    <row r="52" spans="1:11" x14ac:dyDescent="0.3">
      <c r="A52" t="str">
        <f>"7704790204879"</f>
        <v>7704790204879</v>
      </c>
      <c r="B52" t="s">
        <v>67</v>
      </c>
      <c r="C52" s="4">
        <v>32</v>
      </c>
      <c r="D52" s="2" t="s">
        <v>11</v>
      </c>
      <c r="E52" s="3" t="s">
        <v>12</v>
      </c>
      <c r="F52" s="3" t="s">
        <v>13</v>
      </c>
      <c r="G52" s="1" t="s">
        <v>14</v>
      </c>
      <c r="H52" s="1" t="s">
        <v>15</v>
      </c>
      <c r="I52" s="1" t="s">
        <v>17</v>
      </c>
      <c r="J52" s="1" t="s">
        <v>78</v>
      </c>
      <c r="K52">
        <v>16.440000000000001</v>
      </c>
    </row>
    <row r="53" spans="1:11" x14ac:dyDescent="0.3">
      <c r="A53" t="str">
        <f>"7704790200161"</f>
        <v>7704790200161</v>
      </c>
      <c r="B53" t="s">
        <v>68</v>
      </c>
      <c r="C53" s="4">
        <v>24</v>
      </c>
      <c r="D53" s="2" t="s">
        <v>11</v>
      </c>
      <c r="E53" s="3" t="s">
        <v>12</v>
      </c>
      <c r="F53" s="3" t="s">
        <v>13</v>
      </c>
      <c r="G53" s="1" t="s">
        <v>14</v>
      </c>
      <c r="H53" s="1" t="s">
        <v>15</v>
      </c>
      <c r="I53" s="1" t="s">
        <v>17</v>
      </c>
      <c r="J53" s="1" t="s">
        <v>78</v>
      </c>
      <c r="K53">
        <v>4.32</v>
      </c>
    </row>
    <row r="54" spans="1:11" x14ac:dyDescent="0.3">
      <c r="A54" t="str">
        <f>"7704790200093"</f>
        <v>7704790200093</v>
      </c>
      <c r="B54" t="s">
        <v>69</v>
      </c>
      <c r="C54" s="4">
        <v>4</v>
      </c>
      <c r="D54" s="2" t="s">
        <v>11</v>
      </c>
      <c r="E54" s="3" t="s">
        <v>12</v>
      </c>
      <c r="F54" s="3" t="s">
        <v>13</v>
      </c>
      <c r="G54" s="1" t="s">
        <v>14</v>
      </c>
      <c r="H54" s="1" t="s">
        <v>15</v>
      </c>
      <c r="I54" s="1" t="s">
        <v>17</v>
      </c>
      <c r="J54" s="1" t="s">
        <v>78</v>
      </c>
      <c r="K54">
        <v>3.11</v>
      </c>
    </row>
    <row r="55" spans="1:11" x14ac:dyDescent="0.3">
      <c r="A55" t="str">
        <f>"7751673000356"</f>
        <v>7751673000356</v>
      </c>
      <c r="B55" t="s">
        <v>70</v>
      </c>
      <c r="C55" s="4">
        <v>66</v>
      </c>
      <c r="D55" s="2" t="s">
        <v>11</v>
      </c>
      <c r="E55" s="3" t="s">
        <v>12</v>
      </c>
      <c r="F55" s="3" t="s">
        <v>13</v>
      </c>
      <c r="G55" s="1" t="s">
        <v>14</v>
      </c>
      <c r="H55" s="1" t="s">
        <v>15</v>
      </c>
      <c r="I55" s="1" t="s">
        <v>17</v>
      </c>
      <c r="J55" s="1" t="s">
        <v>78</v>
      </c>
      <c r="K55">
        <v>3.88</v>
      </c>
    </row>
    <row r="56" spans="1:11" x14ac:dyDescent="0.3">
      <c r="A56" t="str">
        <f>"7751673001292"</f>
        <v>7751673001292</v>
      </c>
      <c r="B56" t="s">
        <v>71</v>
      </c>
      <c r="C56" s="4">
        <v>15</v>
      </c>
      <c r="D56" s="2" t="s">
        <v>11</v>
      </c>
      <c r="E56" s="3" t="s">
        <v>12</v>
      </c>
      <c r="F56" s="3" t="s">
        <v>13</v>
      </c>
      <c r="G56" s="1" t="s">
        <v>14</v>
      </c>
      <c r="H56" s="1" t="s">
        <v>15</v>
      </c>
      <c r="I56" s="1" t="s">
        <v>17</v>
      </c>
      <c r="J56" s="1" t="s">
        <v>78</v>
      </c>
      <c r="K56">
        <v>16.34</v>
      </c>
    </row>
    <row r="57" spans="1:11" x14ac:dyDescent="0.3">
      <c r="A57" t="str">
        <f>"7751673000455"</f>
        <v>7751673000455</v>
      </c>
      <c r="B57" t="s">
        <v>72</v>
      </c>
      <c r="C57" s="4">
        <v>41</v>
      </c>
      <c r="D57" s="2" t="s">
        <v>11</v>
      </c>
      <c r="E57" s="3" t="s">
        <v>12</v>
      </c>
      <c r="F57" s="3" t="s">
        <v>13</v>
      </c>
      <c r="G57" s="1" t="s">
        <v>14</v>
      </c>
      <c r="H57" s="1" t="s">
        <v>15</v>
      </c>
      <c r="I57" s="1" t="s">
        <v>17</v>
      </c>
      <c r="J57" s="1" t="s">
        <v>78</v>
      </c>
      <c r="K57">
        <v>4.2</v>
      </c>
    </row>
    <row r="58" spans="1:11" x14ac:dyDescent="0.3">
      <c r="A58" t="str">
        <f>"7751673001315"</f>
        <v>7751673001315</v>
      </c>
      <c r="B58" t="s">
        <v>73</v>
      </c>
      <c r="C58" s="4">
        <v>10</v>
      </c>
      <c r="D58" s="2" t="s">
        <v>11</v>
      </c>
      <c r="E58" s="3" t="s">
        <v>12</v>
      </c>
      <c r="F58" s="3" t="s">
        <v>13</v>
      </c>
      <c r="G58" s="1" t="s">
        <v>14</v>
      </c>
      <c r="H58" s="1" t="s">
        <v>15</v>
      </c>
      <c r="I58" s="1" t="s">
        <v>17</v>
      </c>
      <c r="J58" s="1" t="s">
        <v>78</v>
      </c>
      <c r="K58">
        <v>15.8</v>
      </c>
    </row>
    <row r="59" spans="1:11" x14ac:dyDescent="0.3">
      <c r="A59" s="1" t="s">
        <v>74</v>
      </c>
      <c r="B59" s="1" t="s">
        <v>75</v>
      </c>
      <c r="C59" s="4">
        <v>19</v>
      </c>
      <c r="D59" s="2" t="s">
        <v>16</v>
      </c>
      <c r="E59" s="3" t="s">
        <v>12</v>
      </c>
      <c r="F59" s="3" t="s">
        <v>13</v>
      </c>
      <c r="G59" s="1" t="s">
        <v>14</v>
      </c>
      <c r="H59" s="1" t="s">
        <v>15</v>
      </c>
      <c r="I59" s="1" t="s">
        <v>17</v>
      </c>
      <c r="J59" s="1" t="s">
        <v>78</v>
      </c>
      <c r="K59">
        <v>18.3</v>
      </c>
    </row>
    <row r="1048569" spans="3:3" x14ac:dyDescent="0.3">
      <c r="C1048569" s="4"/>
    </row>
  </sheetData>
  <pageMargins left="0.7" right="0.7" top="0.75" bottom="0.75" header="0.3" footer="0.3"/>
  <pageSetup orientation="portrait" horizontalDpi="360" verticalDpi="36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Garcia revelo</dc:creator>
  <cp:lastModifiedBy>Usuario</cp:lastModifiedBy>
  <dcterms:created xsi:type="dcterms:W3CDTF">2020-03-02T16:12:21Z</dcterms:created>
  <dcterms:modified xsi:type="dcterms:W3CDTF">2023-03-18T00:55:20Z</dcterms:modified>
</cp:coreProperties>
</file>